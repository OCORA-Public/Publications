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CORA\02_Alliance &amp; Communication\03_Communication\03_OCORA Releases\07_Release-R3\03_Native_Format\"/>
    </mc:Choice>
  </mc:AlternateContent>
  <xr:revisionPtr revIDLastSave="0" documentId="13_ncr:1_{34236D64-BBB6-4CCB-94B0-62291B4A5B25}" xr6:coauthVersionLast="47" xr6:coauthVersionMax="47" xr10:uidLastSave="{00000000-0000-0000-0000-000000000000}"/>
  <bookViews>
    <workbookView xWindow="5415" yWindow="5415" windowWidth="38700" windowHeight="15435" tabRatio="881" xr2:uid="{1587FA56-5815-4D7A-882E-C336A75B1A1B}"/>
  </bookViews>
  <sheets>
    <sheet name="Title Page" sheetId="10" r:id="rId1"/>
    <sheet name="Releases" sheetId="9" r:id="rId2"/>
    <sheet name="Product Breakd. Struct. " sheetId="14" r:id="rId3"/>
    <sheet name="Work Breakdown Structure" sheetId="7" r:id="rId4"/>
    <sheet name="ProductBreak.Struct. (scen.0)" sheetId="13" r:id="rId5"/>
    <sheet name="ProductBreak.Struct. (scen.1)" sheetId="1" r:id="rId6"/>
    <sheet name="ProductBreak.Struct. (scen.2)" sheetId="19" r:id="rId7"/>
    <sheet name="ProductBreak.Struct. (scen.3)" sheetId="20" r:id="rId8"/>
    <sheet name="ProductBreak.Struct. (scen.4)" sheetId="21" r:id="rId9"/>
    <sheet name="Costs assumpt. (scen.0)" sheetId="26" r:id="rId10"/>
    <sheet name="Costs assumpt. (scen.1)" sheetId="28" r:id="rId11"/>
    <sheet name="Costs assumpt. (scen.2)" sheetId="30" r:id="rId12"/>
    <sheet name="Costs assumpt. (scen.3)" sheetId="32" r:id="rId13"/>
    <sheet name="Costs assumpt. (scen.4)" sheetId="34" r:id="rId14"/>
    <sheet name="Parameters" sheetId="16" r:id="rId15"/>
    <sheet name="Scenarii (for simulation)" sheetId="4" r:id="rId16"/>
    <sheet name="Simulation Results" sheetId="5" r:id="rId17"/>
    <sheet name="Sandbox" sheetId="17" r:id="rId18"/>
  </sheets>
  <functionGroups builtInGroupCount="19"/>
  <definedNames>
    <definedName name="DoN" localSheetId="14">#REF!</definedName>
    <definedName name="DoN">#REF!</definedName>
    <definedName name="Level" localSheetId="14">#REF!</definedName>
    <definedName name="Level">#REF!</definedName>
    <definedName name="Owner" localSheetId="14">#REF!</definedName>
    <definedName name="Owner">#REF!</definedName>
    <definedName name="_xlnm.Print_Area" localSheetId="9">'Costs assumpt. (scen.0)'!$A$1:$Z$25</definedName>
    <definedName name="_xlnm.Print_Area" localSheetId="10">'Costs assumpt. (scen.1)'!$A$1:$Z$25</definedName>
    <definedName name="_xlnm.Print_Area" localSheetId="11">'Costs assumpt. (scen.2)'!$A$1:$Z$25</definedName>
    <definedName name="_xlnm.Print_Area" localSheetId="12">'Costs assumpt. (scen.3)'!$A$1:$Z$25</definedName>
    <definedName name="_xlnm.Print_Area" localSheetId="13">'Costs assumpt. (scen.4)'!$A$1:$Z$25</definedName>
    <definedName name="Priority">#REF!</definedName>
    <definedName name="Stakeholder">#REF!</definedName>
    <definedName name="Statu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/>
  <c r="F1" i="5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<sst xmlns="http://schemas.openxmlformats.org/spreadsheetml/2006/main" count="1977" uniqueCount="195">
  <si>
    <t>OCORA</t>
  </si>
  <si>
    <t>Open CCS On-board Reference Architecture</t>
  </si>
  <si>
    <t>Economic Model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</si>
  <si>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</si>
  <si>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Version: 1.00</t>
  </si>
  <si>
    <t>Items developped</t>
  </si>
  <si>
    <t>beta</t>
  </si>
  <si>
    <t>gamma</t>
  </si>
  <si>
    <t>actual</t>
  </si>
  <si>
    <t>delta</t>
  </si>
  <si>
    <t>comment</t>
  </si>
  <si>
    <t>Fleet Migration scenario
(manage specific fleet)</t>
  </si>
  <si>
    <t>draft</t>
  </si>
  <si>
    <t>SW/HW/Sys</t>
  </si>
  <si>
    <t>refined</t>
  </si>
  <si>
    <t>generic</t>
  </si>
  <si>
    <t>Toolbox for CCS migration strategy/ investment plan</t>
  </si>
  <si>
    <t>EU Market scenario
(manage rail industry transformation)</t>
  </si>
  <si>
    <t>train/class/market</t>
  </si>
  <si>
    <t>no work</t>
  </si>
  <si>
    <t>EC studies</t>
  </si>
  <si>
    <t>Toolbox for CCS financing and regulatory strategy</t>
  </si>
  <si>
    <t>Technology migration scenario
(Manage product protfolio)</t>
  </si>
  <si>
    <t>MVP/OCORA/Digital CCS</t>
  </si>
  <si>
    <t xml:space="preserve">Toolbox for CCS standardisation and collaboration strategy </t>
  </si>
  <si>
    <t>PBS</t>
  </si>
  <si>
    <t>Toolbox for system integration and maintenance</t>
  </si>
  <si>
    <t>WBS</t>
  </si>
  <si>
    <t>N/A</t>
  </si>
  <si>
    <t>simplified</t>
  </si>
  <si>
    <t>Toolbox for competence management and organisation</t>
  </si>
  <si>
    <t>Cost assumption</t>
  </si>
  <si>
    <t>Toolbox for collaboration and configuration management</t>
  </si>
  <si>
    <t xml:space="preserve">Economic Evaluation </t>
  </si>
  <si>
    <t>qualitative</t>
  </si>
  <si>
    <t>compare terminaison KPIs</t>
  </si>
  <si>
    <t>TBD</t>
  </si>
  <si>
    <t>One generic set of assumption, % evol for each scenario
value generic and derive % for class ?</t>
  </si>
  <si>
    <t>Products</t>
  </si>
  <si>
    <t>PBS ROADMAP</t>
  </si>
  <si>
    <t>CCS Core/ Peripheral or external</t>
  </si>
  <si>
    <t>CCS Subsystem
Component</t>
  </si>
  <si>
    <t>scen.0</t>
  </si>
  <si>
    <t>scen.1</t>
  </si>
  <si>
    <t>scen.2</t>
  </si>
  <si>
    <t>scen.3</t>
  </si>
  <si>
    <t>scen.4</t>
  </si>
  <si>
    <t>Life cycle (STI / RST update / CCS HW update / SW update)</t>
  </si>
  <si>
    <t>Comment on PBS</t>
  </si>
  <si>
    <t>see "WBS" sheet</t>
  </si>
  <si>
    <t>First HW and SW release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</si>
  <si>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</si>
  <si>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</si>
  <si>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</si>
  <si>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</si>
  <si>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</si>
  <si>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</si>
  <si>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 xml:space="preserve">    (ETP-OB) European Train Protection On-Board + Safe Computing Platform</t>
  </si>
  <si>
    <t>Suppose all ETCS funct.blocks (VS and other ATP related modules : STM-C, Mode mngt..) are running on a dedicated HW</t>
  </si>
  <si>
    <t xml:space="preserve">    National Train Protections (NTPs)</t>
  </si>
  <si>
    <t>In case of embedded NTC-STM</t>
  </si>
  <si>
    <t xml:space="preserve">    Automatic Train Operation On-Board (ATO-OB)</t>
  </si>
  <si>
    <t>Suppose ATO (AV) is running on a dedicated HW</t>
  </si>
  <si>
    <t xml:space="preserve">    Driver Advisory System On-Board (DAS-OB)</t>
  </si>
  <si>
    <t>All other functionnal blocks running on a dedicated HW (eg Digital Map)</t>
  </si>
  <si>
    <t xml:space="preserve">    Virtual Train Coupling S. On-Board (VTCS-OB)</t>
  </si>
  <si>
    <t xml:space="preserve">    Signal Converter (SCV)</t>
  </si>
  <si>
    <t>For hardwired interfaces (EB, TCO…) when necessary</t>
  </si>
  <si>
    <t xml:space="preserve">   Virtual ETCS Transponder Service (VETS)</t>
  </si>
  <si>
    <t>Logical adaptation to I/O (wired or serialTCMS)</t>
  </si>
  <si>
    <t xml:space="preserve">    Remote Manual Train Operation On-Board (RMTO-OB)</t>
  </si>
  <si>
    <t>Only Bus specific access for EVC "as is"</t>
  </si>
  <si>
    <t>CCS peripherals</t>
  </si>
  <si>
    <t>Communication and interfaces</t>
  </si>
  <si>
    <t xml:space="preserve">    Functional Vehicule Adapter (FVA)</t>
  </si>
  <si>
    <t xml:space="preserve">    CCS Communication Network (CCN)</t>
  </si>
  <si>
    <t xml:space="preserve">    Connectivity Services </t>
  </si>
  <si>
    <t>Sensoring</t>
  </si>
  <si>
    <t>VLS and its sensors</t>
  </si>
  <si>
    <t xml:space="preserve">    Localisation On-Board (LOC-OB)</t>
  </si>
  <si>
    <t>E.g. perception devices</t>
  </si>
  <si>
    <t xml:space="preserve">    Perception On-Board (PER-OB)</t>
  </si>
  <si>
    <t xml:space="preserve">    Digital Map Repository On-Board (DREP-OB)</t>
  </si>
  <si>
    <t xml:space="preserve">    Train Display System (TDS)</t>
  </si>
  <si>
    <t>For test and integration purpose (eg TCMS)</t>
  </si>
  <si>
    <t>CCS tools</t>
  </si>
  <si>
    <t>Tools</t>
  </si>
  <si>
    <t xml:space="preserve">    Moitoring, Diagnostic, Configuration, Maintenance On-Board (MDCM-OB)</t>
  </si>
  <si>
    <t>E.g. simulation tool for training</t>
  </si>
  <si>
    <t>Generic costs (Product Dev R&amp;I)</t>
  </si>
  <si>
    <t>Class specific (Adapt to train class)</t>
  </si>
  <si>
    <t>Train specific</t>
  </si>
  <si>
    <t>Specification &amp; Design</t>
  </si>
  <si>
    <t>Development</t>
  </si>
  <si>
    <t>dev</t>
  </si>
  <si>
    <t>Specification (functional, interfaces, performances…)</t>
  </si>
  <si>
    <t>HW/SW</t>
  </si>
  <si>
    <t>Design (SW/ HW  &amp;  architecture)</t>
  </si>
  <si>
    <t xml:space="preserve">Industrialization </t>
  </si>
  <si>
    <t>Production process, configuration mngt, associated tools</t>
  </si>
  <si>
    <t>Integration, Verification &amp; Validation</t>
  </si>
  <si>
    <t>Product integration &amp; validation</t>
  </si>
  <si>
    <t>HW qualification</t>
  </si>
  <si>
    <t>HW</t>
  </si>
  <si>
    <t>Class specific integration &amp; validation</t>
  </si>
  <si>
    <t xml:space="preserve">Certification </t>
  </si>
  <si>
    <t>Reliability, Availability, Maintainability, Security, Safety - RAMSS &amp; Cyber</t>
  </si>
  <si>
    <t>Product (eg GASC)</t>
  </si>
  <si>
    <t>Class specific (eg SASC)</t>
  </si>
  <si>
    <t>Configuration studies and production</t>
  </si>
  <si>
    <t>SW</t>
  </si>
  <si>
    <t>Installation &amp; Commissionning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</si>
  <si>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</si>
  <si>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</si>
  <si>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</si>
  <si>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</si>
  <si>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</si>
  <si>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TCMS evolution/adaptation</t>
  </si>
  <si>
    <t>Adapt Rolling Stock (except. TCMS)</t>
  </si>
  <si>
    <t>Immobilize train for modification</t>
  </si>
  <si>
    <t>Maintain CCS (HW &amp; SW)</t>
  </si>
  <si>
    <t xml:space="preserve">For EVC "as is": I/O boards included in EVC </t>
  </si>
  <si>
    <t>Lifecycle</t>
  </si>
  <si>
    <t>Cost assumptions "as is"</t>
  </si>
  <si>
    <t>Install Integrate CCS (HW&amp;SW) with RST</t>
  </si>
  <si>
    <t>Cost assumptions "pre-OCORA"</t>
  </si>
  <si>
    <t>Product</t>
  </si>
  <si>
    <t>HW update (coefficient appliqué au couts pour la màj)</t>
  </si>
  <si>
    <t>SW update</t>
  </si>
  <si>
    <t>◄Simulation Name</t>
  </si>
  <si>
    <t>Fleet to equip/retrofit</t>
  </si>
  <si>
    <t>(insert above product name)</t>
  </si>
  <si>
    <t>Type</t>
  </si>
  <si>
    <t>Product used</t>
  </si>
  <si>
    <t xml:space="preserve">Total fleet </t>
  </si>
  <si>
    <t>Simulation Results</t>
  </si>
  <si>
    <t>Total par cout</t>
  </si>
  <si>
    <t>Simulation number</t>
  </si>
  <si>
    <t>Simulation Name</t>
  </si>
  <si>
    <t xml:space="preserve">Type of costs </t>
  </si>
  <si>
    <t>Fleet number</t>
  </si>
  <si>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 </t>
    </r>
  </si>
  <si>
    <t>Product applied</t>
  </si>
  <si>
    <t>PBS R2</t>
  </si>
  <si>
    <t>PBS CTR</t>
  </si>
  <si>
    <t>PBS TWS01 R3</t>
  </si>
  <si>
    <t>Safe Computing Platform (SCP)</t>
  </si>
  <si>
    <t xml:space="preserve">(ETP-OB) European Train Protection On-Board </t>
  </si>
  <si>
    <t xml:space="preserve">    Core CCS - ATP (ETCS Core)</t>
  </si>
  <si>
    <t>European Train Protection On-Board (ETP-OB)</t>
  </si>
  <si>
    <t>National Train Protections (NTPs)</t>
  </si>
  <si>
    <t xml:space="preserve">    CCS addon - NTC-STM</t>
  </si>
  <si>
    <t>Automatic Train Operation On-Board (ATO-OB)</t>
  </si>
  <si>
    <t xml:space="preserve">    CCS addon - ATO</t>
  </si>
  <si>
    <t>Driver Advisory System On-Board (DAS-OB)</t>
  </si>
  <si>
    <t xml:space="preserve">    CCS addon - other functions/services</t>
  </si>
  <si>
    <t>Virtual Train Coupling S. On-Board (VTCS-OB)</t>
  </si>
  <si>
    <t>Signal Converter (SCV)</t>
  </si>
  <si>
    <t>Virtual ETCS Transponder Service (VETS)</t>
  </si>
  <si>
    <t>Remote Manual Train Operation On-Board (RMTO-OB)</t>
  </si>
  <si>
    <t xml:space="preserve">    I/O Ports</t>
  </si>
  <si>
    <t>I/O Ports (I/O, WIOC, WIOC-S4)</t>
  </si>
  <si>
    <t>Functional Vehicule Adapter (FVA)</t>
  </si>
  <si>
    <t xml:space="preserve">    Functional Vehicle Adapter (FVA)</t>
  </si>
  <si>
    <t>CCS Communication Network (CCN)</t>
  </si>
  <si>
    <t xml:space="preserve">    UVCC</t>
  </si>
  <si>
    <t xml:space="preserve">Connectivity Services </t>
  </si>
  <si>
    <t xml:space="preserve">    Gateway</t>
  </si>
  <si>
    <t>Gateway</t>
  </si>
  <si>
    <t xml:space="preserve">    MCG (GSM-R, FRMCS…)</t>
  </si>
  <si>
    <t>Cabin Voice Radio (CVR)</t>
  </si>
  <si>
    <t>Localisation On-Board (LOC-OB)</t>
  </si>
  <si>
    <t>Cabin Voice Radio VoIP (CVR-V)</t>
  </si>
  <si>
    <t>Perception On-Board (PER-OB)</t>
  </si>
  <si>
    <t>Cabin Voice Radio Legacy (CVR-L)</t>
  </si>
  <si>
    <t>Digital Map Repository On-Board (DREP-OB)</t>
  </si>
  <si>
    <t>Train Display System (TDS)</t>
  </si>
  <si>
    <t>User Identification &amp; Authentification (UIA)</t>
  </si>
  <si>
    <t>Moitoring, Diagnostic, Configuration, Maintenance On-Board (MDCM-OB)</t>
  </si>
  <si>
    <t xml:space="preserve">    ETCS Sensoring (eg Odo, BTM, LTM)</t>
  </si>
  <si>
    <t xml:space="preserve">    Train Loc (GNSS, Inertial…)</t>
  </si>
  <si>
    <t xml:space="preserve">    Perception sensoring (other sensors)</t>
  </si>
  <si>
    <t>DMI</t>
  </si>
  <si>
    <t xml:space="preserve">    Testing tools (eg test bench, simulator)</t>
  </si>
  <si>
    <t xml:space="preserve">    Maintenance tools</t>
  </si>
  <si>
    <t xml:space="preserve">    Training tools</t>
  </si>
  <si>
    <t xml:space="preserve">    Monitoring, Diagnostic, Configuration, Maintenance On-Board (MDCM-OB)</t>
  </si>
  <si>
    <t xml:space="preserve">    ETCS sensoring (odo, radar, antenna)</t>
  </si>
  <si>
    <t>Upgrade (SW)</t>
  </si>
  <si>
    <t>TSI</t>
  </si>
  <si>
    <t>Obso (HW)</t>
  </si>
  <si>
    <t>Release: R3</t>
  </si>
  <si>
    <t>Monitoring, Diagnostic, Configuration, Maintenance On-Board (MDCM-OB)</t>
  </si>
  <si>
    <t>Date: 18.11.2022</t>
  </si>
  <si>
    <t>Document ID: OCORA-BWS06-010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</si>
</sst>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0" fontId="4" fillId="0" borderId="0" xfId="0" applyFont="1"/>
    <xf numFmtId="0" fontId="8" fillId="2" borderId="0" xfId="0" applyFont="1" applyFill="1" applyAlignment="1">
      <alignment horizontal="center" vertical="center" textRotation="90"/>
    </xf>
    <xf numFmtId="0" fontId="0" fillId="4" borderId="0" xfId="0" applyFill="1"/>
    <xf numFmtId="0" fontId="0" fillId="5" borderId="0" xfId="0" applyFill="1"/>
    <xf numFmtId="0" fontId="9" fillId="6" borderId="0" xfId="0" applyFont="1" applyFill="1"/>
    <xf numFmtId="0" fontId="5" fillId="0" borderId="0" xfId="0" applyFont="1"/>
    <xf numFmtId="0" fontId="10" fillId="5" borderId="0" xfId="0" applyFont="1" applyFill="1"/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3" fillId="2" borderId="0" xfId="0" applyFont="1" applyFill="1" applyAlignment="1">
      <alignment horizontal="center" vertical="center" wrapText="1" readingOrder="1"/>
    </xf>
    <xf numFmtId="0" fontId="14" fillId="2" borderId="0" xfId="0" applyFont="1" applyFill="1" applyAlignment="1">
      <alignment horizontal="left" vertical="center" wrapText="1"/>
    </xf>
    <xf numFmtId="0" fontId="0" fillId="9" borderId="6" xfId="0" applyFill="1" applyBorder="1" applyAlignment="1">
      <alignment horizontal="left" vertical="center" wrapText="1" readingOrder="1"/>
    </xf>
    <xf numFmtId="0" fontId="0" fillId="9" borderId="5" xfId="0" applyFill="1" applyBorder="1" applyAlignment="1">
      <alignment horizontal="right" vertical="center" wrapText="1" readingOrder="1"/>
    </xf>
    <xf numFmtId="0" fontId="0" fillId="9" borderId="7" xfId="0" applyFill="1" applyBorder="1" applyAlignment="1">
      <alignment horizontal="right" vertical="center" wrapText="1" readingOrder="1"/>
    </xf>
    <xf numFmtId="0" fontId="0" fillId="9" borderId="2" xfId="0" applyFill="1" applyBorder="1" applyAlignment="1">
      <alignment horizontal="left" vertical="center" wrapText="1" readingOrder="1"/>
    </xf>
    <xf numFmtId="0" fontId="15" fillId="2" borderId="0" xfId="0" applyFont="1" applyFill="1"/>
    <xf numFmtId="0" fontId="16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17" fillId="8" borderId="0" xfId="0" applyFont="1" applyFill="1" applyAlignment="1">
      <alignment horizontal="center" vertical="center" textRotation="90"/>
    </xf>
    <xf numFmtId="0" fontId="18" fillId="0" borderId="0" xfId="0" applyFont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22" fillId="0" borderId="0" xfId="0" applyFont="1" applyAlignment="1">
      <alignment horizontal="left" vertical="center" indent="2"/>
    </xf>
    <xf numFmtId="0" fontId="19" fillId="0" borderId="0" xfId="0" applyFont="1" applyAlignment="1">
      <alignment horizontal="right" vertical="top"/>
    </xf>
    <xf numFmtId="0" fontId="24" fillId="0" borderId="0" xfId="0" applyFont="1" applyAlignment="1">
      <alignment horizontal="right" vertical="top"/>
    </xf>
    <xf numFmtId="0" fontId="24" fillId="0" borderId="0" xfId="0" applyFont="1" applyAlignment="1">
      <alignment horizontal="center" vertical="top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0" fillId="10" borderId="0" xfId="0" applyFill="1"/>
    <xf numFmtId="0" fontId="4" fillId="10" borderId="0" xfId="0" applyFont="1" applyFill="1"/>
    <xf numFmtId="0" fontId="0" fillId="3" borderId="0" xfId="0" applyFill="1"/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 wrapText="1"/>
    </xf>
    <xf numFmtId="0" fontId="0" fillId="11" borderId="0" xfId="0" applyFill="1"/>
    <xf numFmtId="0" fontId="2" fillId="11" borderId="0" xfId="0" applyFont="1" applyFill="1" applyAlignment="1">
      <alignment horizontal="center" vertical="center" textRotation="90"/>
    </xf>
    <xf numFmtId="0" fontId="10" fillId="11" borderId="0" xfId="0" applyFont="1" applyFill="1" applyAlignment="1">
      <alignment vertical="top"/>
    </xf>
    <xf numFmtId="0" fontId="0" fillId="0" borderId="0" xfId="0" applyAlignment="1">
      <alignment horizontal="center" vertical="center" wrapText="1"/>
    </xf>
    <xf numFmtId="0" fontId="0" fillId="9" borderId="0" xfId="0" applyFill="1" applyAlignment="1">
      <alignment horizontal="center" vertical="center" wrapText="1" readingOrder="1"/>
    </xf>
    <xf numFmtId="0" fontId="0" fillId="9" borderId="5" xfId="0" applyFill="1" applyBorder="1" applyAlignment="1">
      <alignment horizontal="center" vertical="center" wrapText="1" readingOrder="1"/>
    </xf>
    <xf numFmtId="0" fontId="0" fillId="9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 textRotation="90"/>
    </xf>
    <xf numFmtId="0" fontId="10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vertical="center"/>
    </xf>
    <xf numFmtId="0" fontId="26" fillId="0" borderId="2" xfId="0" applyFont="1" applyBorder="1" applyAlignment="1">
      <alignment vertical="center" wrapText="1"/>
    </xf>
    <xf numFmtId="0" fontId="26" fillId="13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2" fillId="10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10" borderId="2" xfId="0" applyFont="1" applyFill="1" applyBorder="1" applyAlignment="1">
      <alignment vertical="center" wrapText="1"/>
    </xf>
    <xf numFmtId="0" fontId="2" fillId="10" borderId="0" xfId="0" applyFont="1" applyFill="1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vertical="center" wrapText="1"/>
    </xf>
    <xf numFmtId="0" fontId="2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0" borderId="15" xfId="0" applyBorder="1" applyAlignment="1">
      <alignment wrapText="1"/>
    </xf>
    <xf numFmtId="0" fontId="0" fillId="0" borderId="15" xfId="0" applyBorder="1"/>
    <xf numFmtId="0" fontId="1" fillId="2" borderId="15" xfId="0" applyFont="1" applyFill="1" applyBorder="1" applyAlignment="1">
      <alignment horizontal="center" vertical="center" textRotation="90"/>
    </xf>
    <xf numFmtId="164" fontId="6" fillId="0" borderId="14" xfId="0" applyNumberFormat="1" applyFont="1" applyBorder="1" applyAlignment="1">
      <alignment wrapText="1"/>
    </xf>
    <xf numFmtId="0" fontId="8" fillId="0" borderId="15" xfId="0" applyFont="1" applyBorder="1" applyAlignment="1">
      <alignment horizontal="center" vertical="center"/>
    </xf>
    <xf numFmtId="0" fontId="11" fillId="6" borderId="15" xfId="0" applyFont="1" applyFill="1" applyBorder="1"/>
    <xf numFmtId="0" fontId="11" fillId="0" borderId="15" xfId="0" applyFont="1" applyBorder="1"/>
    <xf numFmtId="164" fontId="6" fillId="3" borderId="14" xfId="0" applyNumberFormat="1" applyFont="1" applyFill="1" applyBorder="1" applyAlignment="1">
      <alignment wrapText="1"/>
    </xf>
    <xf numFmtId="164" fontId="2" fillId="3" borderId="14" xfId="0" applyNumberFormat="1" applyFont="1" applyFill="1" applyBorder="1"/>
    <xf numFmtId="0" fontId="12" fillId="6" borderId="15" xfId="0" applyFont="1" applyFill="1" applyBorder="1"/>
    <xf numFmtId="0" fontId="12" fillId="0" borderId="15" xfId="0" applyFont="1" applyBorder="1"/>
    <xf numFmtId="0" fontId="0" fillId="9" borderId="11" xfId="0" applyFill="1" applyBorder="1" applyAlignment="1">
      <alignment horizontal="center" vertical="center" wrapText="1" readingOrder="1"/>
    </xf>
    <xf numFmtId="0" fontId="0" fillId="9" borderId="10" xfId="0" applyFill="1" applyBorder="1" applyAlignment="1">
      <alignment horizontal="center" vertical="center" wrapText="1" readingOrder="1"/>
    </xf>
    <xf numFmtId="0" fontId="0" fillId="9" borderId="9" xfId="0" applyFill="1" applyBorder="1" applyAlignment="1">
      <alignment horizontal="center" vertical="center" wrapText="1" readingOrder="1"/>
    </xf>
    <xf numFmtId="0" fontId="0" fillId="9" borderId="8" xfId="0" applyFill="1" applyBorder="1" applyAlignment="1">
      <alignment horizontal="center" vertical="center" wrapText="1" readingOrder="1"/>
    </xf>
    <xf numFmtId="0" fontId="0" fillId="9" borderId="13" xfId="0" applyFill="1" applyBorder="1" applyAlignment="1">
      <alignment horizontal="center" vertical="center" wrapText="1" readingOrder="1"/>
    </xf>
    <xf numFmtId="0" fontId="0" fillId="9" borderId="12" xfId="0" applyFill="1" applyBorder="1" applyAlignment="1">
      <alignment horizontal="center" vertical="center" wrapText="1" readingOrder="1"/>
    </xf>
    <xf numFmtId="0" fontId="0" fillId="9" borderId="15" xfId="0" applyFill="1" applyBorder="1" applyAlignment="1">
      <alignment horizontal="center" vertical="center" wrapText="1" readingOrder="1"/>
    </xf>
    <xf numFmtId="0" fontId="0" fillId="9" borderId="14" xfId="0" applyFill="1" applyBorder="1" applyAlignment="1">
      <alignment horizontal="center" vertical="center" wrapText="1" readingOrder="1"/>
    </xf>
    <xf numFmtId="0" fontId="4" fillId="8" borderId="15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6" fillId="10" borderId="14" xfId="0" applyNumberFormat="1" applyFont="1" applyFill="1" applyBorder="1" applyAlignment="1">
      <alignment wrapText="1"/>
    </xf>
    <xf numFmtId="0" fontId="8" fillId="10" borderId="15" xfId="0" applyFont="1" applyFill="1" applyBorder="1" applyAlignment="1">
      <alignment horizontal="center" vertical="center"/>
    </xf>
    <xf numFmtId="0" fontId="0" fillId="10" borderId="15" xfId="0" applyFill="1" applyBorder="1"/>
    <xf numFmtId="164" fontId="2" fillId="10" borderId="14" xfId="0" applyNumberFormat="1" applyFont="1" applyFill="1" applyBorder="1"/>
    <xf numFmtId="0" fontId="2" fillId="3" borderId="15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textRotation="90"/>
    </xf>
    <xf numFmtId="0" fontId="26" fillId="4" borderId="9" xfId="0" applyFont="1" applyFill="1" applyBorder="1" applyAlignment="1">
      <alignment horizontal="center" vertical="center" textRotation="90"/>
    </xf>
    <xf numFmtId="0" fontId="2" fillId="0" borderId="15" xfId="0" applyFont="1" applyBorder="1" applyAlignment="1">
      <alignment vertical="center" wrapText="1"/>
    </xf>
    <xf numFmtId="0" fontId="2" fillId="13" borderId="15" xfId="0" applyFont="1" applyFill="1" applyBorder="1" applyAlignment="1">
      <alignment vertical="center" wrapText="1"/>
    </xf>
    <xf numFmtId="0" fontId="2" fillId="13" borderId="15" xfId="0" applyFont="1" applyFill="1" applyBorder="1" applyAlignment="1">
      <alignment horizontal="left" vertical="center" wrapText="1"/>
    </xf>
    <xf numFmtId="0" fontId="2" fillId="3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/>
    </xf>
    <xf numFmtId="0" fontId="29" fillId="0" borderId="0" xfId="0" applyFont="1"/>
    <xf numFmtId="0" fontId="29" fillId="2" borderId="0" xfId="0" applyFont="1" applyFill="1" applyAlignment="1">
      <alignment horizontal="center" vertical="center" textRotation="90"/>
    </xf>
    <xf numFmtId="0" fontId="29" fillId="2" borderId="0" xfId="0" applyFont="1" applyFill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10" borderId="1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 wrapText="1" readingOrder="1"/>
    </xf>
    <xf numFmtId="0" fontId="0" fillId="9" borderId="0" xfId="0" applyFill="1"/>
    <xf numFmtId="0" fontId="2" fillId="1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5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15" xfId="0" applyFill="1" applyBorder="1"/>
    <xf numFmtId="0" fontId="11" fillId="0" borderId="15" xfId="0" applyFont="1" applyFill="1" applyBorder="1"/>
    <xf numFmtId="0" fontId="0" fillId="0" borderId="15" xfId="0" applyFill="1" applyBorder="1" applyAlignment="1"/>
    <xf numFmtId="0" fontId="26" fillId="0" borderId="2" xfId="0" applyFont="1" applyFill="1" applyBorder="1" applyAlignment="1">
      <alignment vertical="center" wrapText="1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/>
    <xf numFmtId="0" fontId="23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161925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zoomScale="130" zoomScaleNormal="130" workbookViewId="0">
      <selection activeCell="A20" sqref="A20"/>
    </sheetView>
  </sheetViews>
  <sheetFormatPr defaultColWidth="9.140625" defaultRowHeight="14.25" x14ac:dyDescent="0.2"/>
  <cols>
    <col min="1" max="6" width="9.140625" style="31"/>
    <col min="7" max="7" width="30.7109375" style="31" customWidth="1"/>
    <col min="8" max="8" width="9.140625" style="31"/>
    <col min="9" max="9" width="12.42578125" style="31" customWidth="1"/>
    <col min="10" max="16384" width="9.140625" style="31"/>
  </cols>
  <sheetData>
    <row r="9" spans="1:1" ht="90.75" x14ac:dyDescent="0.2">
      <c r="A9" s="30" t="s">
        <v>0</v>
      </c>
    </row>
    <row r="11" spans="1:1" ht="18" x14ac:dyDescent="0.2">
      <c r="A11" s="32" t="s">
        <v>1</v>
      </c>
    </row>
    <row r="20" spans="1:7" ht="23.25" x14ac:dyDescent="0.2">
      <c r="A20" s="33" t="s">
        <v>2</v>
      </c>
    </row>
    <row r="21" spans="1:7" ht="23.25" x14ac:dyDescent="0.2">
      <c r="A21" s="34"/>
    </row>
    <row r="22" spans="1:7" ht="23.25" x14ac:dyDescent="0.2">
      <c r="A22" s="34"/>
    </row>
    <row r="23" spans="1:7" ht="23.25" x14ac:dyDescent="0.2">
      <c r="A23" s="34"/>
    </row>
    <row r="24" spans="1:7" ht="23.25" x14ac:dyDescent="0.2">
      <c r="A24" s="34"/>
    </row>
    <row r="28" spans="1:7" ht="51" customHeight="1" x14ac:dyDescent="0.2">
      <c r="A28" s="136" t="s">
        <v>3</v>
      </c>
      <c r="B28" s="136"/>
      <c r="C28" s="136"/>
      <c r="D28" s="136"/>
      <c r="E28" s="136"/>
      <c r="F28" s="136"/>
      <c r="G28" s="136"/>
    </row>
    <row r="35" spans="1:9" x14ac:dyDescent="0.2">
      <c r="A35" s="35"/>
      <c r="B35" s="35"/>
      <c r="C35" s="35"/>
      <c r="D35" s="35"/>
      <c r="E35" s="35"/>
      <c r="F35" s="35"/>
      <c r="G35" s="36" t="s">
        <v>194</v>
      </c>
      <c r="H35" s="37"/>
      <c r="I35" s="37"/>
    </row>
    <row r="36" spans="1:9" x14ac:dyDescent="0.2">
      <c r="A36" s="35"/>
      <c r="B36" s="35"/>
      <c r="C36" s="35"/>
      <c r="D36" s="35"/>
      <c r="E36" s="35"/>
      <c r="F36" s="35"/>
      <c r="G36" s="36" t="s">
        <v>4</v>
      </c>
      <c r="H36" s="37"/>
      <c r="I36" s="37"/>
    </row>
    <row r="37" spans="1:9" x14ac:dyDescent="0.2">
      <c r="A37" s="35"/>
      <c r="B37" s="35"/>
      <c r="C37" s="35"/>
      <c r="D37" s="35"/>
      <c r="E37" s="35"/>
      <c r="F37" s="35"/>
      <c r="G37" s="36" t="s">
        <v>193</v>
      </c>
      <c r="H37" s="37"/>
      <c r="I37" s="37"/>
    </row>
    <row r="38" spans="1:9" x14ac:dyDescent="0.2">
      <c r="A38" s="35"/>
      <c r="B38" s="35"/>
      <c r="C38" s="35"/>
      <c r="D38" s="35"/>
      <c r="E38" s="35"/>
      <c r="F38" s="35"/>
      <c r="G38" s="36" t="s">
        <v>191</v>
      </c>
      <c r="H38" s="37"/>
      <c r="I38" s="37"/>
    </row>
    <row r="39" spans="1:9" x14ac:dyDescent="0.2">
      <c r="A39" s="35"/>
      <c r="B39" s="35"/>
      <c r="C39" s="35"/>
      <c r="D39" s="35"/>
      <c r="E39" s="35"/>
      <c r="F39" s="35"/>
      <c r="G39" s="35"/>
      <c r="H39" s="35"/>
      <c r="I39" s="35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>
      <selection activeCell="A10" sqref="A10"/>
    </sheetView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76" t="s">
        <v>5</v>
      </c>
      <c r="B1" s="76" t="s">
        <v>6</v>
      </c>
      <c r="C1" s="76" t="s">
        <v>7</v>
      </c>
      <c r="D1" s="76" t="s">
        <v>8</v>
      </c>
      <c r="E1" s="76" t="s">
        <v>9</v>
      </c>
      <c r="F1" s="76" t="s">
        <v>10</v>
      </c>
    </row>
    <row r="2" spans="1:6" ht="30" x14ac:dyDescent="0.25">
      <c r="A2" s="77" t="s">
        <v>11</v>
      </c>
      <c r="B2" s="78" t="s">
        <v>12</v>
      </c>
      <c r="C2" s="78" t="s">
        <v>13</v>
      </c>
      <c r="D2" s="78" t="s">
        <v>14</v>
      </c>
      <c r="E2" s="78" t="s">
        <v>15</v>
      </c>
      <c r="F2" s="78" t="s">
        <v>16</v>
      </c>
    </row>
    <row r="3" spans="1:6" ht="30" x14ac:dyDescent="0.25">
      <c r="A3" s="77" t="s">
        <v>17</v>
      </c>
      <c r="B3" s="78" t="s">
        <v>12</v>
      </c>
      <c r="C3" s="78" t="s">
        <v>18</v>
      </c>
      <c r="D3" s="78" t="s">
        <v>19</v>
      </c>
      <c r="E3" s="78" t="s">
        <v>20</v>
      </c>
      <c r="F3" s="78" t="s">
        <v>21</v>
      </c>
    </row>
    <row r="4" spans="1:6" ht="30" x14ac:dyDescent="0.25">
      <c r="A4" s="77" t="s">
        <v>22</v>
      </c>
      <c r="B4" s="78" t="s">
        <v>12</v>
      </c>
      <c r="C4" s="78" t="s">
        <v>23</v>
      </c>
      <c r="D4" s="78" t="s">
        <v>14</v>
      </c>
      <c r="E4" s="78" t="s">
        <v>15</v>
      </c>
      <c r="F4" s="78" t="s">
        <v>24</v>
      </c>
    </row>
    <row r="5" spans="1:6" x14ac:dyDescent="0.25">
      <c r="A5" s="78"/>
      <c r="B5" s="78"/>
      <c r="C5" s="78"/>
      <c r="D5" s="78"/>
      <c r="E5" s="78"/>
      <c r="F5" s="78"/>
    </row>
    <row r="6" spans="1:6" x14ac:dyDescent="0.25">
      <c r="A6" s="78" t="s">
        <v>25</v>
      </c>
      <c r="B6" s="78" t="s">
        <v>12</v>
      </c>
      <c r="C6" s="78" t="s">
        <v>12</v>
      </c>
      <c r="D6" s="78" t="s">
        <v>15</v>
      </c>
      <c r="E6" s="78" t="s">
        <v>15</v>
      </c>
      <c r="F6" s="78" t="s">
        <v>26</v>
      </c>
    </row>
    <row r="7" spans="1:6" x14ac:dyDescent="0.25">
      <c r="A7" s="78" t="s">
        <v>27</v>
      </c>
      <c r="B7" s="78" t="s">
        <v>28</v>
      </c>
      <c r="C7" s="78" t="s">
        <v>12</v>
      </c>
      <c r="D7" s="78" t="s">
        <v>14</v>
      </c>
      <c r="E7" s="78" t="s">
        <v>29</v>
      </c>
      <c r="F7" s="78" t="s">
        <v>30</v>
      </c>
    </row>
    <row r="8" spans="1:6" x14ac:dyDescent="0.25">
      <c r="A8" s="78" t="s">
        <v>31</v>
      </c>
      <c r="B8" s="78" t="s">
        <v>12</v>
      </c>
      <c r="C8" s="78" t="s">
        <v>14</v>
      </c>
      <c r="D8" s="78" t="s">
        <v>19</v>
      </c>
      <c r="E8" s="78" t="s">
        <v>14</v>
      </c>
      <c r="F8" s="78" t="s">
        <v>32</v>
      </c>
    </row>
    <row r="9" spans="1:6" x14ac:dyDescent="0.25">
      <c r="A9" s="78"/>
      <c r="B9" s="78"/>
      <c r="C9" s="78"/>
      <c r="D9" s="78"/>
      <c r="E9" s="78"/>
      <c r="F9" s="78"/>
    </row>
    <row r="10" spans="1:6" ht="30" x14ac:dyDescent="0.25">
      <c r="A10" s="78" t="s">
        <v>33</v>
      </c>
      <c r="B10" s="78" t="s">
        <v>34</v>
      </c>
      <c r="C10" s="78" t="s">
        <v>35</v>
      </c>
      <c r="D10" s="78" t="s">
        <v>36</v>
      </c>
      <c r="E10" s="78"/>
      <c r="F10" s="77" t="s">
        <v>37</v>
      </c>
    </row>
    <row r="11" spans="1:6" x14ac:dyDescent="0.25">
      <c r="A11" s="78"/>
      <c r="B11" s="78"/>
      <c r="C11" s="78"/>
      <c r="D11" s="78"/>
      <c r="E11" s="78"/>
      <c r="F11" s="78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G223"/>
  <sheetViews>
    <sheetView topLeftCell="A2" zoomScale="85" zoomScaleNormal="85" workbookViewId="0">
      <selection activeCell="B6" sqref="B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7" width="5.7109375" customWidth="1" outlineLevel="1"/>
    <col min="8" max="8" width="3.140625" hidden="1" customWidth="1" outlineLevel="1"/>
    <col min="9" max="9" width="31.85546875" style="3" customWidth="1"/>
    <col min="10" max="26" width="3.140625" hidden="1" customWidth="1" outlineLevel="1"/>
    <col min="27" max="27" width="5.4257812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59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59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59" ht="26.25" x14ac:dyDescent="0.25">
      <c r="A4" s="73" t="s">
        <v>51</v>
      </c>
      <c r="B4" s="57" t="s">
        <v>52</v>
      </c>
      <c r="C4" s="73" t="s">
        <v>53</v>
      </c>
      <c r="D4" s="73" t="s">
        <v>53</v>
      </c>
      <c r="E4" s="73" t="s">
        <v>53</v>
      </c>
      <c r="F4" s="73" t="s">
        <v>53</v>
      </c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</row>
    <row r="5" spans="1:59" x14ac:dyDescent="0.25">
      <c r="A5" s="73" t="s">
        <v>55</v>
      </c>
      <c r="B5" s="57" t="s">
        <v>56</v>
      </c>
      <c r="C5" s="73" t="s">
        <v>53</v>
      </c>
      <c r="D5" s="73" t="s">
        <v>53</v>
      </c>
      <c r="E5" s="73" t="s">
        <v>53</v>
      </c>
      <c r="F5" s="73" t="s">
        <v>53</v>
      </c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59" ht="51.75" x14ac:dyDescent="0.25">
      <c r="A6" s="73" t="s">
        <v>55</v>
      </c>
      <c r="B6" s="78" t="s">
        <v>57</v>
      </c>
      <c r="C6" s="73" t="s">
        <v>53</v>
      </c>
      <c r="D6" s="73" t="s">
        <v>53</v>
      </c>
      <c r="E6" s="73" t="s">
        <v>53</v>
      </c>
      <c r="F6" s="70" t="s">
        <v>53</v>
      </c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</row>
    <row r="7" spans="1:59" x14ac:dyDescent="0.25">
      <c r="A7" s="73" t="s">
        <v>55</v>
      </c>
      <c r="B7" s="78" t="s">
        <v>59</v>
      </c>
      <c r="C7" s="73" t="s">
        <v>53</v>
      </c>
      <c r="D7" s="73" t="s">
        <v>53</v>
      </c>
      <c r="E7" s="73" t="s">
        <v>53</v>
      </c>
      <c r="F7" s="70" t="s">
        <v>53</v>
      </c>
      <c r="G7" s="8"/>
      <c r="H7" s="17"/>
      <c r="I7" s="84" t="s">
        <v>60</v>
      </c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81"/>
      <c r="V7" s="74"/>
      <c r="W7" s="74"/>
      <c r="X7" s="74"/>
      <c r="Y7" s="74"/>
      <c r="Z7" s="73"/>
      <c r="AA7" s="82"/>
      <c r="AB7" s="82"/>
      <c r="AC7" s="82"/>
      <c r="AD7" s="82"/>
      <c r="AE7" s="83"/>
      <c r="AF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</row>
    <row r="8" spans="1:59" ht="26.25" x14ac:dyDescent="0.25">
      <c r="A8" s="73" t="s">
        <v>55</v>
      </c>
      <c r="B8" s="78" t="s">
        <v>61</v>
      </c>
      <c r="C8" s="73" t="s">
        <v>53</v>
      </c>
      <c r="D8" s="73" t="s">
        <v>53</v>
      </c>
      <c r="E8" s="73"/>
      <c r="F8" s="70"/>
      <c r="G8" s="8"/>
      <c r="H8" s="17"/>
      <c r="I8" s="84" t="s">
        <v>62</v>
      </c>
      <c r="J8" s="73"/>
      <c r="K8" s="73" t="s">
        <v>53</v>
      </c>
      <c r="L8" s="73"/>
      <c r="M8" s="73" t="s">
        <v>53</v>
      </c>
      <c r="N8" s="73"/>
      <c r="O8" s="73" t="s">
        <v>53</v>
      </c>
      <c r="P8" s="73"/>
      <c r="Q8" s="73"/>
      <c r="R8" s="73"/>
      <c r="S8" s="73" t="s">
        <v>53</v>
      </c>
      <c r="T8" s="73" t="s">
        <v>53</v>
      </c>
      <c r="U8" s="81" t="s">
        <v>53</v>
      </c>
      <c r="V8" s="74"/>
      <c r="W8" s="74"/>
      <c r="X8" s="74"/>
      <c r="Y8" s="74"/>
      <c r="Z8" s="73" t="s">
        <v>53</v>
      </c>
      <c r="AA8" s="82"/>
      <c r="AB8" s="82"/>
      <c r="AC8" s="82"/>
      <c r="AD8" s="82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</row>
    <row r="9" spans="1:59" ht="26.25" x14ac:dyDescent="0.25">
      <c r="A9" s="73" t="s">
        <v>55</v>
      </c>
      <c r="B9" s="78" t="s">
        <v>63</v>
      </c>
      <c r="C9" s="73"/>
      <c r="D9" s="73"/>
      <c r="E9" s="73"/>
      <c r="F9" s="70"/>
      <c r="G9" s="8"/>
      <c r="H9" s="17"/>
      <c r="I9" s="84" t="s">
        <v>64</v>
      </c>
      <c r="J9" s="73"/>
      <c r="K9" s="73" t="s">
        <v>53</v>
      </c>
      <c r="L9" s="73"/>
      <c r="M9" s="73" t="s">
        <v>53</v>
      </c>
      <c r="N9" s="73"/>
      <c r="O9" s="73" t="s">
        <v>53</v>
      </c>
      <c r="P9" s="73"/>
      <c r="Q9" s="73"/>
      <c r="R9" s="73"/>
      <c r="S9" s="73" t="s">
        <v>53</v>
      </c>
      <c r="T9" s="73" t="s">
        <v>53</v>
      </c>
      <c r="U9" s="81" t="s">
        <v>53</v>
      </c>
      <c r="V9" s="74"/>
      <c r="W9" s="74"/>
      <c r="X9" s="74"/>
      <c r="Y9" s="74"/>
      <c r="Z9" s="73" t="s">
        <v>53</v>
      </c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</row>
    <row r="10" spans="1:59" x14ac:dyDescent="0.25">
      <c r="A10" s="73" t="s">
        <v>55</v>
      </c>
      <c r="B10" s="78" t="s">
        <v>65</v>
      </c>
      <c r="C10" s="73"/>
      <c r="D10" s="73"/>
      <c r="E10" s="73"/>
      <c r="F10" s="70"/>
      <c r="G10" s="8"/>
      <c r="H10" s="17"/>
      <c r="I10" s="84"/>
      <c r="J10" s="73" t="s">
        <v>53</v>
      </c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81" t="s">
        <v>53</v>
      </c>
      <c r="V10" s="74"/>
      <c r="W10" s="74"/>
      <c r="X10" s="74"/>
      <c r="Y10" s="74"/>
      <c r="Z10" s="73"/>
      <c r="AA10" s="82"/>
      <c r="AB10" s="82"/>
      <c r="AC10" s="82"/>
      <c r="AD10" s="82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</row>
    <row r="11" spans="1:59" ht="26.25" x14ac:dyDescent="0.25">
      <c r="A11" s="73" t="s">
        <v>55</v>
      </c>
      <c r="B11" s="78" t="s">
        <v>66</v>
      </c>
      <c r="C11" s="73" t="s">
        <v>53</v>
      </c>
      <c r="D11" s="73" t="s">
        <v>53</v>
      </c>
      <c r="E11" s="73"/>
      <c r="F11" s="70"/>
      <c r="G11" s="8"/>
      <c r="H11" s="17"/>
      <c r="I11" s="84" t="s">
        <v>67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</row>
    <row r="12" spans="1:59" ht="26.25" x14ac:dyDescent="0.25">
      <c r="A12" s="73" t="s">
        <v>55</v>
      </c>
      <c r="B12" s="78" t="s">
        <v>68</v>
      </c>
      <c r="C12" s="73" t="s">
        <v>53</v>
      </c>
      <c r="D12" s="73" t="s">
        <v>53</v>
      </c>
      <c r="E12" s="73"/>
      <c r="F12" s="70"/>
      <c r="G12" s="8"/>
      <c r="H12" s="17"/>
      <c r="I12" s="84" t="s">
        <v>69</v>
      </c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</row>
    <row r="13" spans="1:59" ht="26.25" x14ac:dyDescent="0.25">
      <c r="A13" s="73" t="s">
        <v>55</v>
      </c>
      <c r="B13" s="78" t="s">
        <v>70</v>
      </c>
      <c r="C13" s="73" t="s">
        <v>53</v>
      </c>
      <c r="D13" s="73" t="s">
        <v>53</v>
      </c>
      <c r="E13" s="73"/>
      <c r="F13" s="70"/>
      <c r="G13" s="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59" x14ac:dyDescent="0.25">
      <c r="A14" s="73" t="s">
        <v>72</v>
      </c>
      <c r="B14" s="57" t="s">
        <v>73</v>
      </c>
      <c r="C14" s="73" t="s">
        <v>53</v>
      </c>
      <c r="D14" s="73" t="s">
        <v>53</v>
      </c>
      <c r="E14" s="73" t="s">
        <v>53</v>
      </c>
      <c r="F14" s="70" t="s">
        <v>53</v>
      </c>
      <c r="G14" s="8" t="s">
        <v>53</v>
      </c>
      <c r="H14" s="17"/>
      <c r="I14" s="84"/>
      <c r="J14" s="73"/>
      <c r="K14" s="73" t="s">
        <v>53</v>
      </c>
      <c r="L14" s="73" t="s">
        <v>53</v>
      </c>
      <c r="M14" s="73" t="s">
        <v>53</v>
      </c>
      <c r="N14" s="73" t="s">
        <v>53</v>
      </c>
      <c r="O14" s="73" t="s">
        <v>53</v>
      </c>
      <c r="P14" s="73" t="s">
        <v>53</v>
      </c>
      <c r="Q14" s="73" t="s">
        <v>53</v>
      </c>
      <c r="R14" s="73" t="s">
        <v>53</v>
      </c>
      <c r="S14" s="73" t="s">
        <v>53</v>
      </c>
      <c r="T14" s="73" t="s">
        <v>53</v>
      </c>
      <c r="U14" s="81" t="s">
        <v>53</v>
      </c>
      <c r="V14" s="74"/>
      <c r="W14" s="74"/>
      <c r="X14" s="74"/>
      <c r="Y14" s="74"/>
      <c r="Z14" s="73" t="s">
        <v>53</v>
      </c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59" x14ac:dyDescent="0.25">
      <c r="A15" s="73" t="s">
        <v>72</v>
      </c>
      <c r="B15" s="78" t="s">
        <v>74</v>
      </c>
      <c r="C15" s="73" t="s">
        <v>53</v>
      </c>
      <c r="D15" s="73" t="s">
        <v>53</v>
      </c>
      <c r="E15" s="73" t="s">
        <v>53</v>
      </c>
      <c r="F15" s="70"/>
      <c r="G15" s="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59" x14ac:dyDescent="0.25">
      <c r="A16" s="73" t="s">
        <v>72</v>
      </c>
      <c r="B16" s="78" t="s">
        <v>75</v>
      </c>
      <c r="C16" s="73" t="s">
        <v>53</v>
      </c>
      <c r="D16" s="73" t="s">
        <v>53</v>
      </c>
      <c r="E16" s="73" t="s">
        <v>53</v>
      </c>
      <c r="F16" s="70" t="s">
        <v>53</v>
      </c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59" x14ac:dyDescent="0.25">
      <c r="A17" s="73" t="s">
        <v>72</v>
      </c>
      <c r="B17" s="64" t="s">
        <v>76</v>
      </c>
      <c r="C17" s="73" t="s">
        <v>53</v>
      </c>
      <c r="D17" s="73" t="s">
        <v>53</v>
      </c>
      <c r="E17" s="73" t="s">
        <v>53</v>
      </c>
      <c r="F17" s="70" t="s">
        <v>53</v>
      </c>
      <c r="G17" s="8" t="s">
        <v>53</v>
      </c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59" x14ac:dyDescent="0.25">
      <c r="A18" s="73" t="s">
        <v>72</v>
      </c>
      <c r="B18" s="57" t="s">
        <v>77</v>
      </c>
      <c r="C18" s="73" t="s">
        <v>53</v>
      </c>
      <c r="D18" s="73" t="s">
        <v>53</v>
      </c>
      <c r="E18" s="73" t="s">
        <v>53</v>
      </c>
      <c r="F18" s="70" t="s">
        <v>53</v>
      </c>
      <c r="G18" s="8" t="s">
        <v>53</v>
      </c>
      <c r="H18" s="17"/>
      <c r="I18" s="84" t="s">
        <v>78</v>
      </c>
      <c r="J18" s="73"/>
      <c r="K18" s="73" t="s">
        <v>53</v>
      </c>
      <c r="L18" s="73" t="s">
        <v>53</v>
      </c>
      <c r="M18" s="73" t="s">
        <v>53</v>
      </c>
      <c r="N18" s="73" t="s">
        <v>53</v>
      </c>
      <c r="O18" s="73" t="s">
        <v>53</v>
      </c>
      <c r="P18" s="73" t="s">
        <v>53</v>
      </c>
      <c r="Q18" s="73" t="s">
        <v>53</v>
      </c>
      <c r="R18" s="73" t="s">
        <v>53</v>
      </c>
      <c r="S18" s="73" t="s">
        <v>53</v>
      </c>
      <c r="T18" s="73" t="s">
        <v>53</v>
      </c>
      <c r="U18" s="81" t="s">
        <v>53</v>
      </c>
      <c r="V18" s="74"/>
      <c r="W18" s="74"/>
      <c r="X18" s="74"/>
      <c r="Y18" s="74"/>
      <c r="Z18" s="73" t="s">
        <v>53</v>
      </c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59" x14ac:dyDescent="0.25">
      <c r="A19" s="73" t="s">
        <v>72</v>
      </c>
      <c r="B19" s="78" t="s">
        <v>79</v>
      </c>
      <c r="C19" s="73" t="s">
        <v>53</v>
      </c>
      <c r="D19" s="73" t="s">
        <v>53</v>
      </c>
      <c r="E19" s="73" t="s">
        <v>53</v>
      </c>
      <c r="F19" s="70"/>
      <c r="G19" s="8"/>
      <c r="H19" s="17"/>
      <c r="I19" s="84" t="s">
        <v>80</v>
      </c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81"/>
      <c r="V19" s="74"/>
      <c r="W19" s="74"/>
      <c r="X19" s="74"/>
      <c r="Y19" s="74"/>
      <c r="Z19" s="73"/>
      <c r="AA19" s="86"/>
      <c r="AB19" s="86"/>
      <c r="AC19" s="86"/>
      <c r="AD19" s="86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</row>
    <row r="20" spans="1:59" x14ac:dyDescent="0.25">
      <c r="A20" s="73" t="s">
        <v>72</v>
      </c>
      <c r="B20" s="78" t="s">
        <v>81</v>
      </c>
      <c r="C20" s="73" t="s">
        <v>53</v>
      </c>
      <c r="D20" s="73" t="s">
        <v>53</v>
      </c>
      <c r="E20" s="73" t="s">
        <v>53</v>
      </c>
      <c r="F20" s="70"/>
      <c r="G20" s="8"/>
      <c r="H20" s="17"/>
      <c r="I20" s="84"/>
      <c r="J20" s="73" t="s">
        <v>53</v>
      </c>
      <c r="K20" s="73" t="s">
        <v>53</v>
      </c>
      <c r="L20" s="73" t="s">
        <v>53</v>
      </c>
      <c r="M20" s="73" t="s">
        <v>53</v>
      </c>
      <c r="N20" s="73" t="s">
        <v>53</v>
      </c>
      <c r="O20" s="73" t="s">
        <v>53</v>
      </c>
      <c r="P20" s="73"/>
      <c r="Q20" s="73" t="s">
        <v>53</v>
      </c>
      <c r="R20" s="73" t="s">
        <v>53</v>
      </c>
      <c r="S20" s="73" t="s">
        <v>53</v>
      </c>
      <c r="T20" s="73" t="s">
        <v>53</v>
      </c>
      <c r="U20" s="81" t="s">
        <v>53</v>
      </c>
      <c r="V20" s="74"/>
      <c r="W20" s="74"/>
      <c r="X20" s="74"/>
      <c r="Y20" s="74"/>
      <c r="Z20" s="73" t="s">
        <v>53</v>
      </c>
      <c r="AA20" s="86"/>
      <c r="AB20" s="86"/>
      <c r="AC20" s="86"/>
      <c r="AD20" s="86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</row>
    <row r="21" spans="1:59" x14ac:dyDescent="0.25">
      <c r="A21" s="73" t="s">
        <v>72</v>
      </c>
      <c r="B21" s="78" t="s">
        <v>82</v>
      </c>
      <c r="C21" s="73" t="s">
        <v>53</v>
      </c>
      <c r="D21" s="73" t="s">
        <v>53</v>
      </c>
      <c r="E21" s="73"/>
      <c r="F21" s="70"/>
      <c r="G21" s="8"/>
      <c r="H21" s="17"/>
      <c r="I21" s="8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81"/>
      <c r="V21" s="74"/>
      <c r="W21" s="74"/>
      <c r="X21" s="74"/>
      <c r="Y21" s="74"/>
      <c r="Z21" s="73"/>
      <c r="AA21" s="86"/>
      <c r="AB21" s="86"/>
      <c r="AC21" s="86"/>
      <c r="AD21" s="86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</row>
    <row r="22" spans="1:59" ht="26.25" x14ac:dyDescent="0.25">
      <c r="A22" s="73" t="s">
        <v>72</v>
      </c>
      <c r="B22" s="78" t="s">
        <v>83</v>
      </c>
      <c r="C22" s="73" t="s">
        <v>53</v>
      </c>
      <c r="D22" s="73" t="s">
        <v>53</v>
      </c>
      <c r="E22" s="73" t="s">
        <v>53</v>
      </c>
      <c r="F22" s="70" t="s">
        <v>53</v>
      </c>
      <c r="G22" s="8" t="s">
        <v>53</v>
      </c>
      <c r="H22" s="17"/>
      <c r="I22" s="84" t="s">
        <v>84</v>
      </c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81"/>
      <c r="V22" s="74"/>
      <c r="W22" s="74"/>
      <c r="X22" s="74"/>
      <c r="Y22" s="74"/>
      <c r="Z22" s="73"/>
      <c r="AA22" s="86"/>
      <c r="AB22" s="86"/>
      <c r="AC22" s="86"/>
      <c r="AD22" s="86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</row>
    <row r="23" spans="1:59" x14ac:dyDescent="0.25">
      <c r="A23" s="73" t="s">
        <v>85</v>
      </c>
      <c r="B23" s="57" t="s">
        <v>86</v>
      </c>
      <c r="C23" s="73" t="s">
        <v>53</v>
      </c>
      <c r="D23" s="73" t="s">
        <v>53</v>
      </c>
      <c r="E23" s="73"/>
      <c r="F23" s="70"/>
      <c r="G23" s="8"/>
      <c r="H23" s="17"/>
      <c r="I23" s="8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81"/>
      <c r="V23" s="74"/>
      <c r="W23" s="74"/>
      <c r="X23" s="74"/>
      <c r="Y23" s="74"/>
      <c r="Z23" s="73"/>
      <c r="AA23" s="86"/>
      <c r="AB23" s="86"/>
      <c r="AC23" s="86"/>
      <c r="AD23" s="86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</row>
    <row r="24" spans="1:59" x14ac:dyDescent="0.25">
      <c r="A24" s="73" t="s">
        <v>85</v>
      </c>
      <c r="B24" s="78" t="s">
        <v>87</v>
      </c>
      <c r="C24" s="73" t="s">
        <v>53</v>
      </c>
      <c r="D24" s="73" t="s">
        <v>53</v>
      </c>
      <c r="E24" s="73"/>
      <c r="F24" s="70"/>
      <c r="G24" s="8"/>
      <c r="H24" s="17"/>
      <c r="I24" s="84" t="s">
        <v>88</v>
      </c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81"/>
      <c r="V24" s="74"/>
      <c r="W24" s="74"/>
      <c r="X24" s="74"/>
      <c r="Y24" s="74"/>
      <c r="Z24" s="73"/>
      <c r="AA24" s="86"/>
      <c r="AB24" s="86"/>
      <c r="AC24" s="86"/>
      <c r="AD24" s="86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</row>
    <row r="25" spans="1:59" x14ac:dyDescent="0.25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59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59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59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59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59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59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59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</sheetData>
  <phoneticPr fontId="12" type="noConversion"/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rgb="FFFFFF00"/>
  </sheetPr>
  <dimension ref="B2:F27"/>
  <sheetViews>
    <sheetView zoomScale="83" zoomScaleNormal="50" workbookViewId="0">
      <selection activeCell="I11" sqref="I11"/>
    </sheetView>
  </sheetViews>
  <sheetFormatPr defaultColWidth="11.42578125" defaultRowHeight="17.100000000000001" customHeight="1" x14ac:dyDescent="0.25"/>
  <cols>
    <col min="1" max="1" width="2" customWidth="1"/>
    <col min="2" max="2" width="72.28515625" style="18" customWidth="1"/>
    <col min="3" max="5" width="12.85546875" style="18" customWidth="1"/>
    <col min="6" max="6" width="7.85546875" customWidth="1"/>
    <col min="8" max="9" width="13.42578125" customWidth="1"/>
  </cols>
  <sheetData>
    <row r="2" spans="2:6" ht="48.6" customHeight="1" x14ac:dyDescent="0.25">
      <c r="B2" s="19" t="s">
        <v>27</v>
      </c>
      <c r="C2" s="20" t="s">
        <v>89</v>
      </c>
      <c r="D2" s="20" t="s">
        <v>90</v>
      </c>
      <c r="E2" s="20" t="s">
        <v>91</v>
      </c>
    </row>
    <row r="3" spans="2:6" ht="17.100000000000001" customHeight="1" x14ac:dyDescent="0.25">
      <c r="B3" s="22" t="s">
        <v>92</v>
      </c>
      <c r="C3" s="88"/>
      <c r="D3" s="88"/>
      <c r="E3" s="89"/>
    </row>
    <row r="4" spans="2:6" ht="17.100000000000001" customHeight="1" x14ac:dyDescent="0.25">
      <c r="B4" s="120" t="s">
        <v>93</v>
      </c>
      <c r="C4" s="50">
        <v>1</v>
      </c>
      <c r="D4" s="90"/>
      <c r="E4" s="91"/>
      <c r="F4" s="121" t="s">
        <v>94</v>
      </c>
    </row>
    <row r="5" spans="2:6" ht="17.100000000000001" customHeight="1" x14ac:dyDescent="0.25">
      <c r="B5" s="23" t="s">
        <v>95</v>
      </c>
      <c r="C5" s="50">
        <v>1</v>
      </c>
      <c r="D5" s="90">
        <v>0.5</v>
      </c>
      <c r="E5" s="91"/>
      <c r="F5" s="91" t="s">
        <v>96</v>
      </c>
    </row>
    <row r="6" spans="2:6" ht="17.100000000000001" customHeight="1" x14ac:dyDescent="0.25">
      <c r="B6" s="24" t="s">
        <v>97</v>
      </c>
      <c r="C6" s="92">
        <v>1</v>
      </c>
      <c r="D6" s="92">
        <v>0.5</v>
      </c>
      <c r="E6" s="93"/>
      <c r="F6" s="91" t="s">
        <v>96</v>
      </c>
    </row>
    <row r="7" spans="2:6" ht="17.100000000000001" customHeight="1" x14ac:dyDescent="0.25">
      <c r="B7" s="22" t="s">
        <v>98</v>
      </c>
      <c r="C7" s="88"/>
      <c r="D7" s="88"/>
      <c r="E7" s="89"/>
    </row>
    <row r="8" spans="2:6" ht="17.100000000000001" customHeight="1" x14ac:dyDescent="0.25">
      <c r="B8" s="24" t="s">
        <v>99</v>
      </c>
      <c r="C8" s="92">
        <v>1</v>
      </c>
      <c r="D8" s="92">
        <v>0.5</v>
      </c>
      <c r="E8" s="93"/>
      <c r="F8" s="91" t="s">
        <v>96</v>
      </c>
    </row>
    <row r="9" spans="2:6" ht="17.100000000000001" customHeight="1" x14ac:dyDescent="0.25">
      <c r="B9" s="22" t="s">
        <v>100</v>
      </c>
      <c r="C9" s="88"/>
      <c r="D9" s="88"/>
      <c r="E9" s="89"/>
    </row>
    <row r="10" spans="2:6" ht="17.100000000000001" customHeight="1" x14ac:dyDescent="0.25">
      <c r="B10" s="23" t="s">
        <v>101</v>
      </c>
      <c r="C10" s="90">
        <v>1</v>
      </c>
      <c r="D10" s="90"/>
      <c r="E10" s="91"/>
      <c r="F10" s="91" t="s">
        <v>96</v>
      </c>
    </row>
    <row r="11" spans="2:6" ht="17.100000000000001" customHeight="1" x14ac:dyDescent="0.25">
      <c r="B11" s="23" t="s">
        <v>102</v>
      </c>
      <c r="C11" s="90">
        <v>1</v>
      </c>
      <c r="D11" s="90"/>
      <c r="E11" s="91"/>
      <c r="F11" s="51" t="s">
        <v>103</v>
      </c>
    </row>
    <row r="12" spans="2:6" ht="17.100000000000001" customHeight="1" x14ac:dyDescent="0.25">
      <c r="B12" s="23" t="s">
        <v>104</v>
      </c>
      <c r="C12" s="90"/>
      <c r="D12" s="90">
        <v>1</v>
      </c>
      <c r="E12" s="91"/>
      <c r="F12" s="91" t="s">
        <v>96</v>
      </c>
    </row>
    <row r="13" spans="2:6" ht="17.100000000000001" customHeight="1" x14ac:dyDescent="0.25">
      <c r="B13" s="24" t="s">
        <v>105</v>
      </c>
      <c r="C13" s="92">
        <v>1</v>
      </c>
      <c r="D13" s="92">
        <v>1</v>
      </c>
      <c r="E13" s="93"/>
      <c r="F13" s="91" t="s">
        <v>96</v>
      </c>
    </row>
    <row r="14" spans="2:6" ht="17.100000000000001" customHeight="1" x14ac:dyDescent="0.25">
      <c r="B14" s="22" t="s">
        <v>106</v>
      </c>
      <c r="C14" s="88"/>
      <c r="D14" s="88"/>
      <c r="E14" s="89"/>
    </row>
    <row r="15" spans="2:6" ht="17.100000000000001" customHeight="1" x14ac:dyDescent="0.25">
      <c r="B15" s="23" t="s">
        <v>107</v>
      </c>
      <c r="C15" s="90">
        <v>1</v>
      </c>
      <c r="D15" s="90"/>
      <c r="E15" s="91"/>
      <c r="F15" s="91" t="s">
        <v>96</v>
      </c>
    </row>
    <row r="16" spans="2:6" ht="17.100000000000001" customHeight="1" x14ac:dyDescent="0.25">
      <c r="B16" s="24" t="s">
        <v>108</v>
      </c>
      <c r="C16" s="92"/>
      <c r="D16" s="92">
        <v>1</v>
      </c>
      <c r="E16" s="93"/>
      <c r="F16" s="91" t="s">
        <v>96</v>
      </c>
    </row>
    <row r="17" spans="2:6" ht="17.100000000000001" customHeight="1" x14ac:dyDescent="0.25">
      <c r="B17" s="25" t="s">
        <v>109</v>
      </c>
      <c r="C17" s="94"/>
      <c r="D17" s="94">
        <v>1</v>
      </c>
      <c r="E17" s="95"/>
      <c r="F17" s="91" t="s">
        <v>110</v>
      </c>
    </row>
    <row r="18" spans="2:6" ht="17.100000000000001" customHeight="1" x14ac:dyDescent="0.25">
      <c r="B18" s="22" t="s">
        <v>111</v>
      </c>
      <c r="C18" s="88"/>
      <c r="D18" s="88"/>
      <c r="E18" s="89"/>
    </row>
    <row r="19" spans="2:6" ht="17.100000000000001" customHeight="1" x14ac:dyDescent="0.25">
      <c r="B19" s="23" t="s">
        <v>112</v>
      </c>
      <c r="C19" s="50"/>
      <c r="D19" s="90">
        <v>0.5</v>
      </c>
      <c r="E19" s="91">
        <v>0.5</v>
      </c>
      <c r="F19" s="91" t="s">
        <v>96</v>
      </c>
    </row>
    <row r="20" spans="2:6" ht="17.100000000000001" customHeight="1" x14ac:dyDescent="0.25">
      <c r="B20" s="23" t="s">
        <v>113</v>
      </c>
      <c r="C20" s="90"/>
      <c r="D20" s="90"/>
      <c r="E20" s="91">
        <v>1</v>
      </c>
      <c r="F20" s="49" t="s">
        <v>103</v>
      </c>
    </row>
    <row r="21" spans="2:6" ht="17.100000000000001" customHeight="1" x14ac:dyDescent="0.25">
      <c r="B21" s="24" t="s">
        <v>114</v>
      </c>
      <c r="C21" s="92"/>
      <c r="D21" s="92"/>
      <c r="E21" s="91">
        <v>1</v>
      </c>
      <c r="F21" s="91" t="s">
        <v>96</v>
      </c>
    </row>
    <row r="22" spans="2:6" ht="17.100000000000001" customHeight="1" x14ac:dyDescent="0.25">
      <c r="B22" s="25" t="s">
        <v>115</v>
      </c>
      <c r="C22" s="94"/>
      <c r="D22" s="94"/>
      <c r="E22" s="94">
        <v>1</v>
      </c>
    </row>
    <row r="23" spans="2:6" ht="17.100000000000001" customHeight="1" x14ac:dyDescent="0.25">
      <c r="B23" s="96" t="s">
        <v>116</v>
      </c>
      <c r="C23" s="97"/>
      <c r="D23" s="97">
        <v>1</v>
      </c>
      <c r="E23" s="97"/>
    </row>
    <row r="24" spans="2:6" ht="17.100000000000001" customHeight="1" x14ac:dyDescent="0.25">
      <c r="B24" s="96" t="s">
        <v>117</v>
      </c>
      <c r="C24" s="97"/>
      <c r="D24" s="97">
        <v>1</v>
      </c>
      <c r="E24" s="97"/>
    </row>
    <row r="25" spans="2:6" ht="17.100000000000001" customHeight="1" x14ac:dyDescent="0.25">
      <c r="B25" s="96" t="s">
        <v>118</v>
      </c>
      <c r="C25" s="97"/>
      <c r="D25" s="97">
        <v>0.5</v>
      </c>
      <c r="E25" s="97">
        <v>0.5</v>
      </c>
    </row>
    <row r="26" spans="2:6" ht="17.100000000000001" customHeight="1" x14ac:dyDescent="0.25">
      <c r="B26" s="96" t="s">
        <v>119</v>
      </c>
      <c r="C26" s="97"/>
      <c r="D26" s="97"/>
      <c r="E26" s="97">
        <v>0.5</v>
      </c>
    </row>
    <row r="27" spans="2:6" ht="17.100000000000001" customHeight="1" x14ac:dyDescent="0.25">
      <c r="B27" s="25" t="s">
        <v>120</v>
      </c>
      <c r="C27" s="94"/>
      <c r="D27" s="94"/>
      <c r="E27" s="95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S224"/>
  <sheetViews>
    <sheetView zoomScale="90" zoomScaleNormal="90" workbookViewId="0">
      <selection activeCell="AA34" sqref="AA34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4" width="6.85546875" customWidth="1" outlineLevel="1"/>
    <col min="5" max="7" width="5.7109375" customWidth="1" outlineLevel="1"/>
    <col min="8" max="8" width="2.7109375" hidden="1" customWidth="1" outlineLevel="1"/>
    <col min="9" max="9" width="2.7109375" style="3" hidden="1" customWidth="1"/>
    <col min="10" max="26" width="2.710937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  <col min="61" max="71" width="11.42578125" style="42"/>
  </cols>
  <sheetData>
    <row r="1" spans="1:71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7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7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71" ht="15" customHeight="1" x14ac:dyDescent="0.25">
      <c r="A4" s="73" t="s">
        <v>51</v>
      </c>
      <c r="B4" s="57" t="s">
        <v>52</v>
      </c>
      <c r="C4" s="73" t="s">
        <v>53</v>
      </c>
      <c r="D4" s="98"/>
      <c r="E4" s="98"/>
      <c r="F4" s="69"/>
      <c r="G4" s="38"/>
      <c r="H4" s="17"/>
      <c r="I4" s="80"/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71" ht="15" customHeight="1" x14ac:dyDescent="0.25">
      <c r="A5" s="73" t="s">
        <v>55</v>
      </c>
      <c r="B5" s="57" t="s">
        <v>56</v>
      </c>
      <c r="C5" s="73" t="s">
        <v>53</v>
      </c>
      <c r="D5" s="98"/>
      <c r="E5" s="98"/>
      <c r="F5" s="69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71" ht="15" customHeight="1" x14ac:dyDescent="0.25">
      <c r="A6" s="73" t="s">
        <v>55</v>
      </c>
      <c r="B6" s="78" t="s">
        <v>57</v>
      </c>
      <c r="C6" s="73" t="s">
        <v>53</v>
      </c>
      <c r="D6" s="98"/>
      <c r="E6" s="98"/>
      <c r="F6" s="69"/>
      <c r="G6" s="38"/>
      <c r="H6" s="17"/>
      <c r="I6" s="84"/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71" s="40" customFormat="1" ht="15" customHeight="1" x14ac:dyDescent="0.25">
      <c r="A7" s="73" t="s">
        <v>55</v>
      </c>
      <c r="B7" s="78" t="s">
        <v>59</v>
      </c>
      <c r="C7" s="73" t="s">
        <v>53</v>
      </c>
      <c r="D7" s="98"/>
      <c r="E7" s="98"/>
      <c r="F7" s="69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</row>
    <row r="8" spans="1:71" s="40" customFormat="1" ht="15" customHeight="1" x14ac:dyDescent="0.25">
      <c r="A8" s="73" t="s">
        <v>55</v>
      </c>
      <c r="B8" s="78" t="s">
        <v>61</v>
      </c>
      <c r="C8" s="73" t="s">
        <v>53</v>
      </c>
      <c r="D8" s="98"/>
      <c r="E8" s="98"/>
      <c r="F8" s="69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</row>
    <row r="9" spans="1:71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</row>
    <row r="10" spans="1:71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71" ht="15" customHeigh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69"/>
      <c r="G11" s="38"/>
      <c r="H11" s="17"/>
      <c r="I11" s="84" t="s">
        <v>121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71" s="40" customFormat="1" ht="15" customHeigh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69"/>
      <c r="G12" s="38"/>
      <c r="H12" s="39"/>
      <c r="I12" s="99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  <c r="V12" s="75"/>
      <c r="W12" s="75"/>
      <c r="X12" s="75"/>
      <c r="Y12" s="75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  <c r="BH1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</row>
    <row r="13" spans="1:71" ht="15" customHeigh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69"/>
      <c r="G13" s="3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71" s="40" customFormat="1" ht="15" customHeigh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</row>
    <row r="15" spans="1:71" ht="15" customHeight="1" x14ac:dyDescent="0.25">
      <c r="A15" s="73" t="s">
        <v>72</v>
      </c>
      <c r="B15" s="101" t="s">
        <v>74</v>
      </c>
      <c r="C15" s="98"/>
      <c r="D15" s="98"/>
      <c r="E15" s="98"/>
      <c r="F15" s="69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71" ht="15" customHeight="1" x14ac:dyDescent="0.25">
      <c r="A16" s="73" t="s">
        <v>72</v>
      </c>
      <c r="B16" s="101" t="s">
        <v>75</v>
      </c>
      <c r="C16" s="98"/>
      <c r="D16" s="98"/>
      <c r="E16" s="98"/>
      <c r="F16" s="69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71" ht="15" customHeight="1" x14ac:dyDescent="0.25">
      <c r="A17" s="73" t="s">
        <v>72</v>
      </c>
      <c r="B17" s="63" t="s">
        <v>76</v>
      </c>
      <c r="C17" s="98"/>
      <c r="D17" s="98"/>
      <c r="E17" s="98"/>
      <c r="F17" s="69"/>
      <c r="G17" s="38"/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71" s="40" customFormat="1" ht="15" customHeigh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</row>
    <row r="19" spans="1:71" s="40" customFormat="1" ht="15" customHeigh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71" s="40" customFormat="1" ht="15" customHeigh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69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</row>
    <row r="21" spans="1:71" ht="15" customHeigh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69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71" s="40" customFormat="1" ht="15" customHeigh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69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</row>
    <row r="23" spans="1:71" s="40" customFormat="1" ht="15" customHeigh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69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</row>
    <row r="24" spans="1:71" s="40" customFormat="1" ht="15" customHeigh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</row>
    <row r="25" spans="1:71" s="40" customFormat="1" ht="15" customHeight="1" x14ac:dyDescent="0.25">
      <c r="A25" s="73" t="s">
        <v>85</v>
      </c>
      <c r="B25" s="78" t="s">
        <v>87</v>
      </c>
      <c r="C25" s="73" t="s">
        <v>53</v>
      </c>
      <c r="D25" s="98"/>
      <c r="E25" s="98"/>
      <c r="F25" s="69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100"/>
      <c r="T25" s="75"/>
      <c r="U25" s="75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</row>
    <row r="26" spans="1:71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71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71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71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71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7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7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CT224"/>
  <sheetViews>
    <sheetView zoomScale="90" zoomScaleNormal="90" workbookViewId="0">
      <selection activeCell="AV19" sqref="AV19:AV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73" t="s">
        <v>53</v>
      </c>
      <c r="E4" s="98"/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73" t="s">
        <v>53</v>
      </c>
      <c r="E5" s="98"/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73" t="s">
        <v>53</v>
      </c>
      <c r="E6" s="98"/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73" t="s">
        <v>53</v>
      </c>
      <c r="E7" s="98"/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73" t="s">
        <v>53</v>
      </c>
      <c r="E8" s="98"/>
      <c r="F8" s="98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73" t="s">
        <v>53</v>
      </c>
      <c r="E11" s="98"/>
      <c r="F11" s="98"/>
      <c r="G11" s="38"/>
      <c r="H11" s="17"/>
      <c r="I11" s="8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98" ht="15" customHeight="1" x14ac:dyDescent="0.25">
      <c r="A12" s="73" t="s">
        <v>55</v>
      </c>
      <c r="B12" s="78" t="s">
        <v>68</v>
      </c>
      <c r="C12" s="98"/>
      <c r="D12" s="73" t="s">
        <v>53</v>
      </c>
      <c r="E12" s="98"/>
      <c r="F12" s="98"/>
      <c r="G12" s="38"/>
      <c r="H12" s="17"/>
      <c r="I12" s="84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</row>
    <row r="13" spans="1:98" ht="15" customHeight="1" x14ac:dyDescent="0.25">
      <c r="A13" s="73" t="s">
        <v>55</v>
      </c>
      <c r="B13" s="78" t="s">
        <v>70</v>
      </c>
      <c r="C13" s="98"/>
      <c r="D13" s="73" t="s">
        <v>53</v>
      </c>
      <c r="E13" s="98"/>
      <c r="F13" s="98"/>
      <c r="G13" s="38"/>
      <c r="H13" s="17"/>
      <c r="I13" s="80"/>
      <c r="J13" s="73" t="s">
        <v>53</v>
      </c>
      <c r="K13" s="73"/>
      <c r="L13" s="73" t="s">
        <v>53</v>
      </c>
      <c r="M13" s="73"/>
      <c r="N13" s="73" t="s">
        <v>53</v>
      </c>
      <c r="O13" s="73"/>
      <c r="P13" s="73"/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127"/>
      <c r="BI13" s="127"/>
      <c r="BJ13" s="127"/>
      <c r="BK13" s="127"/>
      <c r="BL13" s="125"/>
      <c r="BM13" s="125"/>
      <c r="BN13" s="125"/>
    </row>
    <row r="14" spans="1:98" ht="15" customHeight="1" x14ac:dyDescent="0.25">
      <c r="A14" s="73" t="s">
        <v>72</v>
      </c>
      <c r="B14" s="57" t="s">
        <v>73</v>
      </c>
      <c r="C14" s="98"/>
      <c r="D14" s="73" t="s">
        <v>53</v>
      </c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126"/>
      <c r="BI14" s="125"/>
      <c r="BJ14" s="125"/>
      <c r="BK14" s="125"/>
      <c r="BL14" s="125"/>
      <c r="BM14" s="125"/>
      <c r="BN14" s="125"/>
    </row>
    <row r="15" spans="1:98" ht="15" customHeight="1" x14ac:dyDescent="0.25">
      <c r="A15" s="73" t="s">
        <v>72</v>
      </c>
      <c r="B15" s="78" t="s">
        <v>74</v>
      </c>
      <c r="C15" s="98"/>
      <c r="D15" s="73" t="s">
        <v>53</v>
      </c>
      <c r="E15" s="98"/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73" t="s">
        <v>53</v>
      </c>
      <c r="E16" s="98"/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129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73" t="s">
        <v>53</v>
      </c>
      <c r="E21" s="98"/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129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129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98"/>
      <c r="G25" s="38"/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B372-A829-457B-8398-096F53DFEC51}">
  <sheetPr codeName="Feuil14">
    <tabColor theme="7" tint="0.79998168889431442"/>
  </sheetPr>
  <dimension ref="A1:CT224"/>
  <sheetViews>
    <sheetView zoomScale="90" zoomScaleNormal="90" workbookViewId="0">
      <selection activeCell="AQ49" sqref="AQ49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73" t="s">
        <v>53</v>
      </c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73" t="s">
        <v>53</v>
      </c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73" t="s">
        <v>53</v>
      </c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73" t="s">
        <v>53</v>
      </c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73" t="s">
        <v>53</v>
      </c>
      <c r="F8" s="98"/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73" t="s">
        <v>53</v>
      </c>
      <c r="F11" s="98"/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73" t="s">
        <v>53</v>
      </c>
      <c r="F12" s="98"/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123"/>
      <c r="BG12" s="123"/>
    </row>
    <row r="13" spans="1:98" ht="15" customHeight="1" x14ac:dyDescent="0.25">
      <c r="A13" s="123" t="s">
        <v>55</v>
      </c>
      <c r="B13" s="128" t="s">
        <v>70</v>
      </c>
      <c r="C13" s="98"/>
      <c r="D13" s="98"/>
      <c r="E13" s="73" t="s">
        <v>53</v>
      </c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73" t="s">
        <v>53</v>
      </c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73" t="s">
        <v>53</v>
      </c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129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73" t="s">
        <v>53</v>
      </c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129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73" t="s">
        <v>53</v>
      </c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129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28" t="s">
        <v>87</v>
      </c>
      <c r="C25" s="98"/>
      <c r="D25" s="98"/>
      <c r="E25" s="73" t="s">
        <v>53</v>
      </c>
      <c r="F25" s="98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CB75B-31D1-4F3E-AC06-969C3A8F01FA}">
  <sheetPr codeName="Feuil15">
    <tabColor theme="7" tint="0.79998168889431442"/>
  </sheetPr>
  <dimension ref="A1:CT224"/>
  <sheetViews>
    <sheetView zoomScale="90" zoomScaleNormal="90" workbookViewId="0">
      <selection activeCell="AH23" sqref="AH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98"/>
      <c r="F8" s="70" t="s">
        <v>53</v>
      </c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12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98"/>
      <c r="F11" s="70" t="s">
        <v>53</v>
      </c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12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98"/>
      <c r="F12" s="70" t="s">
        <v>53</v>
      </c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123"/>
      <c r="BF12" s="123"/>
      <c r="BG12" s="12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12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130" t="s">
        <v>74</v>
      </c>
      <c r="C15" s="98"/>
      <c r="D15" s="98"/>
      <c r="E15" s="98"/>
      <c r="F15" s="70" t="s">
        <v>53</v>
      </c>
      <c r="G15" s="3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123"/>
      <c r="BF15" s="123"/>
      <c r="BG15" s="12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123" t="s">
        <v>72</v>
      </c>
      <c r="B20" s="128" t="s">
        <v>79</v>
      </c>
      <c r="C20" s="98"/>
      <c r="D20" s="98"/>
      <c r="E20" s="98"/>
      <c r="F20" s="70" t="s">
        <v>53</v>
      </c>
      <c r="G20" s="3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123"/>
      <c r="BF20" s="123"/>
      <c r="BG20" s="12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123" t="s">
        <v>72</v>
      </c>
      <c r="B21" s="128" t="s">
        <v>81</v>
      </c>
      <c r="C21" s="98"/>
      <c r="D21" s="98"/>
      <c r="E21" s="98"/>
      <c r="F21" s="70" t="s">
        <v>53</v>
      </c>
      <c r="G21" s="3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123"/>
      <c r="BF21" s="123"/>
      <c r="BG21" s="12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98"/>
      <c r="F22" s="70" t="s">
        <v>53</v>
      </c>
      <c r="G22" s="3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12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129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12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28" t="s">
        <v>87</v>
      </c>
      <c r="C25" s="98"/>
      <c r="D25" s="98"/>
      <c r="E25" s="98"/>
      <c r="F25" s="70" t="s">
        <v>53</v>
      </c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12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0CB0-76A6-4EB9-94A6-4BD2B84B159B}">
  <sheetPr codeName="Feuil16">
    <tabColor theme="7" tint="0.79998168889431442"/>
  </sheetPr>
  <dimension ref="A1:CT224"/>
  <sheetViews>
    <sheetView zoomScale="90" zoomScaleNormal="90" workbookViewId="0">
      <selection activeCell="AM6" sqref="AM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98"/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98"/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98"/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98"/>
      <c r="G7" s="8" t="s">
        <v>53</v>
      </c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12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123"/>
      <c r="BF7" s="123"/>
      <c r="BG7" s="12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123" t="s">
        <v>55</v>
      </c>
      <c r="B8" s="128" t="s">
        <v>61</v>
      </c>
      <c r="C8" s="98"/>
      <c r="D8" s="98"/>
      <c r="E8" s="98"/>
      <c r="F8" s="98"/>
      <c r="G8" s="8" t="s">
        <v>53</v>
      </c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12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123"/>
      <c r="BF8" s="123"/>
      <c r="BG8" s="12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123"/>
      <c r="BF9" s="123"/>
      <c r="BG9" s="123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123"/>
      <c r="BF10" s="123"/>
      <c r="BG10" s="123"/>
    </row>
    <row r="11" spans="1:98" ht="15" customHeight="1" x14ac:dyDescent="0.25">
      <c r="A11" s="123" t="s">
        <v>55</v>
      </c>
      <c r="B11" s="128" t="s">
        <v>66</v>
      </c>
      <c r="C11" s="98"/>
      <c r="D11" s="98"/>
      <c r="E11" s="98"/>
      <c r="F11" s="98"/>
      <c r="G11" s="8" t="s">
        <v>53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12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123"/>
      <c r="BF11" s="123"/>
      <c r="BG11" s="123"/>
    </row>
    <row r="12" spans="1:98" ht="15" customHeight="1" x14ac:dyDescent="0.25">
      <c r="A12" s="123" t="s">
        <v>55</v>
      </c>
      <c r="B12" s="128" t="s">
        <v>68</v>
      </c>
      <c r="C12" s="98"/>
      <c r="D12" s="98"/>
      <c r="E12" s="98"/>
      <c r="F12" s="98"/>
      <c r="G12" s="8" t="s">
        <v>53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12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123"/>
      <c r="BF12" s="123"/>
      <c r="BG12" s="12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12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123"/>
      <c r="BF13" s="123"/>
      <c r="BG13" s="12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98"/>
      <c r="G14" s="8" t="s">
        <v>53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82"/>
      <c r="AB14" s="82"/>
      <c r="AC14" s="82"/>
      <c r="AD14" s="82"/>
      <c r="AE14" s="7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123"/>
      <c r="BF14" s="123"/>
      <c r="BG14" s="123"/>
    </row>
    <row r="15" spans="1:98" ht="15" customHeight="1" x14ac:dyDescent="0.25">
      <c r="A15" s="73" t="s">
        <v>72</v>
      </c>
      <c r="B15" s="130" t="s">
        <v>74</v>
      </c>
      <c r="C15" s="98"/>
      <c r="D15" s="98"/>
      <c r="E15" s="98"/>
      <c r="F15" s="98"/>
      <c r="G15" s="8" t="s">
        <v>53</v>
      </c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12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123"/>
      <c r="BF15" s="123"/>
      <c r="BG15" s="12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98"/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129"/>
      <c r="BF16" s="129"/>
      <c r="BG16" s="129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98"/>
      <c r="G17" s="8" t="s">
        <v>53</v>
      </c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129"/>
      <c r="BF17" s="129"/>
      <c r="BG17" s="129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98"/>
      <c r="G18" s="8" t="s">
        <v>53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82"/>
      <c r="AB18" s="82"/>
      <c r="AC18" s="82"/>
      <c r="AD18" s="82"/>
      <c r="AE18" s="7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123"/>
      <c r="BF18" s="123"/>
      <c r="BG18" s="12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98"/>
      <c r="G19" s="8" t="s">
        <v>53</v>
      </c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124"/>
      <c r="AW19" s="83" t="s">
        <v>190</v>
      </c>
      <c r="AX19" s="83"/>
      <c r="AY19" s="83"/>
      <c r="AZ19" s="83"/>
      <c r="BA19" s="83"/>
      <c r="BB19" s="83"/>
      <c r="BC19" s="83"/>
      <c r="BD19" s="83"/>
      <c r="BE19" s="129"/>
      <c r="BF19" s="129"/>
      <c r="BG19" s="129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123" t="s">
        <v>72</v>
      </c>
      <c r="B20" s="128" t="s">
        <v>79</v>
      </c>
      <c r="C20" s="98"/>
      <c r="D20" s="98"/>
      <c r="E20" s="98"/>
      <c r="F20" s="98"/>
      <c r="G20" s="8" t="s">
        <v>53</v>
      </c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12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123"/>
      <c r="BF20" s="123"/>
      <c r="BG20" s="12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123" t="s">
        <v>72</v>
      </c>
      <c r="B21" s="128" t="s">
        <v>81</v>
      </c>
      <c r="C21" s="98"/>
      <c r="D21" s="98"/>
      <c r="E21" s="98"/>
      <c r="F21" s="98"/>
      <c r="G21" s="8" t="s">
        <v>53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12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123"/>
      <c r="BF21" s="123"/>
      <c r="BG21" s="123"/>
    </row>
    <row r="22" spans="1:98" s="40" customFormat="1" ht="15" customHeight="1" x14ac:dyDescent="0.25">
      <c r="A22" s="123" t="s">
        <v>72</v>
      </c>
      <c r="B22" s="128" t="s">
        <v>82</v>
      </c>
      <c r="C22" s="98"/>
      <c r="D22" s="98"/>
      <c r="E22" s="98"/>
      <c r="F22" s="98"/>
      <c r="G22" s="8" t="s">
        <v>53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12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123"/>
      <c r="BF22" s="123"/>
      <c r="BG22" s="12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98"/>
      <c r="G23" s="8" t="s">
        <v>53</v>
      </c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124"/>
      <c r="AW23" s="83" t="s">
        <v>190</v>
      </c>
      <c r="AX23" s="83"/>
      <c r="AY23" s="83"/>
      <c r="AZ23" s="83"/>
      <c r="BA23" s="83"/>
      <c r="BB23" s="83"/>
      <c r="BC23" s="83"/>
      <c r="BD23" s="83"/>
      <c r="BE23" s="129"/>
      <c r="BF23" s="129"/>
      <c r="BG23" s="129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12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123"/>
      <c r="BF24" s="123"/>
      <c r="BG24" s="12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01" t="s">
        <v>87</v>
      </c>
      <c r="C25" s="98"/>
      <c r="D25" s="98"/>
      <c r="E25" s="98"/>
      <c r="F25" s="98"/>
      <c r="G25" s="8" t="s">
        <v>53</v>
      </c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98"/>
      <c r="AB25" s="98"/>
      <c r="AC25" s="98"/>
      <c r="AD25" s="98"/>
      <c r="AE25" s="12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123"/>
      <c r="BF25" s="123"/>
      <c r="BG25" s="12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75A66-0902-43EB-B477-E0237B411A94}">
  <sheetPr codeName="Feuil21">
    <tabColor theme="7" tint="0.59999389629810485"/>
    <pageSetUpPr fitToPage="1"/>
  </sheetPr>
  <dimension ref="A1:BG33"/>
  <sheetViews>
    <sheetView zoomScaleNormal="100" workbookViewId="0">
      <selection activeCell="J19" sqref="J19"/>
    </sheetView>
  </sheetViews>
  <sheetFormatPr defaultColWidth="11.42578125" defaultRowHeight="15" outlineLevelCol="1" x14ac:dyDescent="0.25"/>
  <cols>
    <col min="1" max="1" width="18" style="7" customWidth="1"/>
    <col min="2" max="2" width="50.28515625" style="5" customWidth="1"/>
    <col min="3" max="4" width="5.7109375" customWidth="1" outlineLevel="1"/>
    <col min="5" max="6" width="5.7109375" style="15" customWidth="1" outlineLevel="1"/>
    <col min="7" max="7" width="5.7109375" customWidth="1" outlineLevel="1"/>
    <col min="8" max="8" width="6.7109375" bestFit="1" customWidth="1" outlineLevel="1"/>
    <col min="9" max="20" width="5.7109375" customWidth="1" outlineLevel="1"/>
    <col min="21" max="21" width="5.7109375" style="115" customWidth="1" outlineLevel="1"/>
    <col min="22" max="26" width="5.7109375" customWidth="1" outlineLevel="1"/>
    <col min="27" max="27" width="7.5703125" bestFit="1" customWidth="1"/>
    <col min="28" max="28" width="7.5703125" customWidth="1"/>
    <col min="29" max="29" width="46.28515625" customWidth="1"/>
  </cols>
  <sheetData>
    <row r="1" spans="1:36" ht="30" customHeight="1" x14ac:dyDescent="0.55000000000000004">
      <c r="A1" s="43" t="s">
        <v>123</v>
      </c>
      <c r="B1" s="21"/>
      <c r="C1" s="26" t="s">
        <v>38</v>
      </c>
      <c r="D1" s="2"/>
      <c r="E1" s="2"/>
      <c r="F1" s="2"/>
      <c r="G1" s="2"/>
      <c r="H1" s="2"/>
    </row>
    <row r="2" spans="1:36" ht="153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116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6" x14ac:dyDescent="0.25">
      <c r="A3" s="6"/>
      <c r="B3" s="1"/>
      <c r="C3" s="1"/>
      <c r="D3" s="1"/>
      <c r="E3" s="1"/>
      <c r="F3" s="1"/>
      <c r="G3" s="1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7"/>
      <c r="V3" s="28"/>
      <c r="W3" s="28"/>
      <c r="X3" s="28"/>
      <c r="Y3" s="28"/>
      <c r="Z3" s="1"/>
    </row>
    <row r="4" spans="1:36" x14ac:dyDescent="0.25">
      <c r="A4" s="73" t="s">
        <v>51</v>
      </c>
      <c r="B4" s="57" t="s">
        <v>52</v>
      </c>
      <c r="C4" s="73" t="s">
        <v>53</v>
      </c>
      <c r="D4" s="98"/>
      <c r="E4" s="98"/>
      <c r="F4" s="98"/>
      <c r="G4" s="98"/>
      <c r="H4" s="10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118"/>
      <c r="V4" s="97"/>
      <c r="W4" s="97"/>
      <c r="X4" s="97"/>
      <c r="Y4" s="97"/>
      <c r="Z4" s="73"/>
    </row>
    <row r="5" spans="1:36" x14ac:dyDescent="0.25">
      <c r="A5" s="73" t="s">
        <v>55</v>
      </c>
      <c r="B5" s="57" t="s">
        <v>56</v>
      </c>
      <c r="C5" s="73" t="s">
        <v>53</v>
      </c>
      <c r="D5" s="98"/>
      <c r="E5" s="98"/>
      <c r="F5" s="98"/>
      <c r="G5" s="98"/>
      <c r="H5" s="10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118"/>
      <c r="V5" s="97"/>
      <c r="W5" s="97"/>
      <c r="X5" s="97"/>
      <c r="Y5" s="97"/>
      <c r="Z5" s="73"/>
    </row>
    <row r="6" spans="1:36" x14ac:dyDescent="0.25">
      <c r="A6" s="73" t="s">
        <v>55</v>
      </c>
      <c r="B6" s="78" t="s">
        <v>57</v>
      </c>
      <c r="C6" s="73" t="s">
        <v>53</v>
      </c>
      <c r="D6" s="98"/>
      <c r="E6" s="98"/>
      <c r="F6" s="98"/>
      <c r="G6" s="98"/>
      <c r="H6" s="103">
        <v>1000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  <c r="AA6" s="10"/>
    </row>
    <row r="7" spans="1:36" s="40" customFormat="1" x14ac:dyDescent="0.25">
      <c r="A7" s="73" t="s">
        <v>55</v>
      </c>
      <c r="B7" s="78" t="s">
        <v>59</v>
      </c>
      <c r="C7" s="73" t="s">
        <v>53</v>
      </c>
      <c r="D7" s="98"/>
      <c r="E7" s="98"/>
      <c r="F7" s="98"/>
      <c r="G7" s="98"/>
      <c r="H7" s="103"/>
      <c r="I7" s="73"/>
      <c r="J7" s="73"/>
      <c r="K7" s="73"/>
      <c r="L7" s="73"/>
      <c r="M7" s="73"/>
      <c r="N7" s="73"/>
      <c r="O7" s="73"/>
      <c r="P7" s="73"/>
      <c r="Q7" s="73"/>
      <c r="R7" s="73">
        <v>3</v>
      </c>
      <c r="S7" s="73">
        <v>2</v>
      </c>
      <c r="T7" s="73">
        <v>5</v>
      </c>
      <c r="U7" s="118">
        <v>1</v>
      </c>
      <c r="V7" s="97"/>
      <c r="W7" s="97"/>
      <c r="X7" s="97"/>
      <c r="Y7" s="97"/>
      <c r="Z7" s="73"/>
      <c r="AH7"/>
      <c r="AI7"/>
      <c r="AJ7"/>
    </row>
    <row r="8" spans="1:36" s="40" customFormat="1" x14ac:dyDescent="0.25">
      <c r="A8" s="73" t="s">
        <v>55</v>
      </c>
      <c r="B8" s="78" t="s">
        <v>61</v>
      </c>
      <c r="C8" s="73" t="s">
        <v>53</v>
      </c>
      <c r="D8" s="98"/>
      <c r="E8" s="98"/>
      <c r="F8" s="98"/>
      <c r="G8" s="9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H8"/>
      <c r="AI8"/>
      <c r="AJ8"/>
    </row>
    <row r="9" spans="1:36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9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119">
        <v>0</v>
      </c>
      <c r="V9" s="98"/>
      <c r="W9" s="98"/>
      <c r="X9" s="98"/>
      <c r="Y9" s="98"/>
      <c r="Z9" s="98"/>
      <c r="AH9"/>
      <c r="AI9"/>
      <c r="AJ9"/>
    </row>
    <row r="10" spans="1:36" x14ac:dyDescent="0.25">
      <c r="A10" s="98" t="s">
        <v>55</v>
      </c>
      <c r="B10" s="101" t="s">
        <v>65</v>
      </c>
      <c r="C10" s="98"/>
      <c r="D10" s="98"/>
      <c r="E10" s="98"/>
      <c r="F10" s="98"/>
      <c r="G10" s="9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119">
        <v>0</v>
      </c>
      <c r="V10" s="98"/>
      <c r="W10" s="98"/>
      <c r="X10" s="98"/>
      <c r="Y10" s="98"/>
      <c r="Z10" s="98"/>
    </row>
    <row r="11" spans="1:36" s="42" customForma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98"/>
      <c r="G11" s="9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  <c r="AH11"/>
      <c r="AI11"/>
      <c r="AJ11"/>
    </row>
    <row r="12" spans="1:36" s="40" customForma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98"/>
      <c r="G12" s="9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  <c r="AH12"/>
      <c r="AI12"/>
      <c r="AJ12"/>
    </row>
    <row r="13" spans="1:36" s="42" customForma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98"/>
      <c r="G13" s="98"/>
      <c r="H13" s="10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118">
        <v>0</v>
      </c>
      <c r="V13" s="97"/>
      <c r="W13" s="97"/>
      <c r="X13" s="97"/>
      <c r="Y13" s="97"/>
      <c r="Z13" s="73"/>
      <c r="AH13"/>
      <c r="AI13"/>
      <c r="AJ13"/>
    </row>
    <row r="14" spans="1:36" s="40" customForma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98"/>
      <c r="H14" s="10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118">
        <v>0</v>
      </c>
      <c r="V14" s="97"/>
      <c r="W14" s="97"/>
      <c r="X14" s="97"/>
      <c r="Y14" s="97"/>
      <c r="Z14" s="73"/>
      <c r="AH14"/>
      <c r="AI14"/>
      <c r="AJ14"/>
    </row>
    <row r="15" spans="1:36" x14ac:dyDescent="0.25">
      <c r="A15" s="73" t="s">
        <v>72</v>
      </c>
      <c r="B15" s="78" t="s">
        <v>74</v>
      </c>
      <c r="C15" s="73" t="s">
        <v>53</v>
      </c>
      <c r="D15" s="98"/>
      <c r="E15" s="98"/>
      <c r="F15" s="98"/>
      <c r="G15" s="98"/>
      <c r="H15" s="98">
        <v>0</v>
      </c>
      <c r="I15" s="98">
        <v>0</v>
      </c>
      <c r="J15" s="98">
        <v>0</v>
      </c>
      <c r="K15" s="98">
        <v>0</v>
      </c>
      <c r="L15" s="98">
        <v>0</v>
      </c>
      <c r="M15" s="98">
        <v>0</v>
      </c>
      <c r="N15" s="98">
        <v>0</v>
      </c>
      <c r="O15" s="98">
        <v>0</v>
      </c>
      <c r="P15" s="98">
        <v>0</v>
      </c>
      <c r="Q15" s="98">
        <v>0</v>
      </c>
      <c r="R15" s="98">
        <v>0</v>
      </c>
      <c r="S15" s="98">
        <v>0</v>
      </c>
      <c r="T15" s="98">
        <v>0</v>
      </c>
      <c r="U15" s="119">
        <v>0</v>
      </c>
      <c r="V15" s="75"/>
      <c r="W15" s="75"/>
      <c r="X15" s="75"/>
      <c r="Y15" s="75"/>
      <c r="Z15" s="98"/>
    </row>
    <row r="16" spans="1:36" x14ac:dyDescent="0.25">
      <c r="A16" s="73" t="s">
        <v>72</v>
      </c>
      <c r="B16" s="78" t="s">
        <v>75</v>
      </c>
      <c r="C16" s="73" t="s">
        <v>53</v>
      </c>
      <c r="D16" s="98"/>
      <c r="E16" s="98"/>
      <c r="F16" s="98"/>
      <c r="G16" s="98"/>
      <c r="H16" s="103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s="118">
        <v>0</v>
      </c>
      <c r="V16" s="97"/>
      <c r="W16" s="97"/>
      <c r="X16" s="97"/>
      <c r="Y16" s="97"/>
      <c r="Z16" s="73"/>
    </row>
    <row r="17" spans="1:59" s="42" customFormat="1" x14ac:dyDescent="0.25">
      <c r="A17" s="73" t="s">
        <v>72</v>
      </c>
      <c r="B17" s="64" t="s">
        <v>76</v>
      </c>
      <c r="C17" s="73" t="s">
        <v>53</v>
      </c>
      <c r="D17" s="98"/>
      <c r="E17" s="98"/>
      <c r="F17" s="98"/>
      <c r="G17" s="98"/>
      <c r="H17" s="10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0</v>
      </c>
      <c r="U17" s="118">
        <v>0</v>
      </c>
      <c r="V17" s="97"/>
      <c r="W17" s="97"/>
      <c r="X17" s="97"/>
      <c r="Y17" s="97"/>
      <c r="Z17" s="73"/>
      <c r="AH17"/>
      <c r="AI17"/>
      <c r="AJ17"/>
    </row>
    <row r="18" spans="1:59" s="41" customForma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98"/>
      <c r="H18" s="10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118">
        <v>0</v>
      </c>
      <c r="V18" s="97"/>
      <c r="W18" s="97"/>
      <c r="X18" s="97"/>
      <c r="Y18" s="97"/>
      <c r="Z18" s="73"/>
      <c r="AH18"/>
      <c r="AI18"/>
      <c r="AJ18"/>
    </row>
    <row r="19" spans="1:59" s="41" customForma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98"/>
      <c r="G19" s="98"/>
      <c r="H19" s="103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59" s="41" customForma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98"/>
      <c r="G20" s="98"/>
      <c r="H20" s="103">
        <v>600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H20"/>
      <c r="AI20"/>
      <c r="AJ20"/>
    </row>
    <row r="21" spans="1:59" s="10" customForma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98"/>
      <c r="G21" s="9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  <c r="AH21"/>
      <c r="AI21"/>
      <c r="AJ21"/>
    </row>
    <row r="22" spans="1:59" s="41" customForma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98"/>
      <c r="G22" s="9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H22"/>
      <c r="AI22"/>
      <c r="AJ22"/>
    </row>
    <row r="23" spans="1:59" s="41" customForma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98"/>
      <c r="G23" s="9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H23"/>
      <c r="AI23"/>
      <c r="AJ23"/>
    </row>
    <row r="24" spans="1:59" s="41" customForma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98"/>
      <c r="H24" s="10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118">
        <v>0</v>
      </c>
      <c r="V24" s="97"/>
      <c r="W24" s="97"/>
      <c r="X24" s="97"/>
      <c r="Y24" s="97"/>
      <c r="Z24" s="73"/>
      <c r="AH24"/>
      <c r="AI24"/>
      <c r="AJ24"/>
    </row>
    <row r="25" spans="1:59" s="40" customFormat="1" x14ac:dyDescent="0.25">
      <c r="A25" s="73" t="s">
        <v>85</v>
      </c>
      <c r="B25" s="78" t="s">
        <v>186</v>
      </c>
      <c r="C25" s="73" t="s">
        <v>53</v>
      </c>
      <c r="D25" s="98"/>
      <c r="E25" s="98"/>
      <c r="F25" s="98"/>
      <c r="G25" s="9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H25"/>
      <c r="AI25"/>
      <c r="AJ25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x14ac:dyDescent="0.25">
      <c r="A26" s="65"/>
      <c r="B26" s="66"/>
      <c r="C26" s="65"/>
      <c r="D26" s="67"/>
      <c r="E26" s="67"/>
      <c r="F26" s="67"/>
      <c r="G26" s="67"/>
      <c r="H26" s="67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</row>
    <row r="27" spans="1:59" x14ac:dyDescent="0.25">
      <c r="A27" s="65"/>
      <c r="B27" s="68"/>
      <c r="C27" s="65"/>
      <c r="D27" s="67"/>
      <c r="E27" s="67"/>
      <c r="F27" s="67"/>
      <c r="G27" s="67"/>
      <c r="H27" s="67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</row>
    <row r="28" spans="1:59" x14ac:dyDescent="0.25">
      <c r="A28" s="65"/>
      <c r="B28" s="68"/>
      <c r="C28" s="65"/>
      <c r="D28" s="67"/>
      <c r="E28" s="67"/>
      <c r="F28" s="67"/>
      <c r="G28" s="67"/>
      <c r="H28" s="67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</row>
    <row r="29" spans="1:59" x14ac:dyDescent="0.25">
      <c r="A29" s="65"/>
      <c r="B29" s="68"/>
      <c r="C29" s="65"/>
      <c r="D29" s="67"/>
      <c r="E29" s="67"/>
      <c r="F29" s="67"/>
      <c r="G29" s="67"/>
      <c r="H29" s="67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</row>
    <row r="30" spans="1:59" x14ac:dyDescent="0.25">
      <c r="A30" s="65"/>
      <c r="B30" s="68"/>
      <c r="C30" s="65"/>
      <c r="D30" s="67"/>
      <c r="E30" s="67"/>
      <c r="F30" s="67"/>
      <c r="G30" s="67"/>
      <c r="H30" s="67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</row>
    <row r="31" spans="1:59" x14ac:dyDescent="0.25">
      <c r="A31" s="65"/>
      <c r="B31" s="68"/>
      <c r="C31" s="65"/>
      <c r="D31" s="67"/>
      <c r="E31" s="67"/>
      <c r="F31" s="67"/>
      <c r="G31" s="67"/>
      <c r="H31" s="67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</row>
    <row r="32" spans="1:59" x14ac:dyDescent="0.25">
      <c r="A32" s="65"/>
      <c r="B32" s="68"/>
      <c r="C32" s="65"/>
      <c r="D32" s="67"/>
      <c r="E32" s="67"/>
      <c r="F32" s="67"/>
      <c r="G32" s="67"/>
      <c r="H32" s="67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</row>
    <row r="33" spans="1:59" x14ac:dyDescent="0.25">
      <c r="A33" s="65"/>
      <c r="B33" s="68"/>
      <c r="C33" s="65"/>
      <c r="D33" s="67"/>
      <c r="E33" s="67"/>
      <c r="F33" s="67"/>
      <c r="G33" s="67"/>
      <c r="H33" s="67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2EE63-4F47-41C9-BF7F-06A84FF12F27}">
  <sheetPr codeName="Feuil22">
    <tabColor theme="7" tint="0.59999389629810485"/>
    <pageSetUpPr fitToPage="1"/>
  </sheetPr>
  <dimension ref="A1:AJ224"/>
  <sheetViews>
    <sheetView zoomScaleNormal="100" workbookViewId="0">
      <selection activeCell="S25" sqref="S25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73" t="s">
        <v>53</v>
      </c>
      <c r="E4" s="98"/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73" t="s">
        <v>53</v>
      </c>
      <c r="E5" s="98"/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73" t="s">
        <v>53</v>
      </c>
      <c r="E6" s="98"/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73" t="s">
        <v>53</v>
      </c>
      <c r="E7" s="98"/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73" t="s">
        <v>53</v>
      </c>
      <c r="E8" s="98"/>
      <c r="F8" s="69"/>
      <c r="G8" s="3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73" t="s">
        <v>53</v>
      </c>
      <c r="E11" s="98"/>
      <c r="F11" s="69"/>
      <c r="G11" s="3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73" t="s">
        <v>53</v>
      </c>
      <c r="E12" s="98"/>
      <c r="F12" s="69"/>
      <c r="G12" s="3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73" t="s">
        <v>53</v>
      </c>
      <c r="E13" s="98"/>
      <c r="F13" s="69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73" t="s">
        <v>53</v>
      </c>
      <c r="E14" s="98"/>
      <c r="F14" s="69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73" t="s">
        <v>53</v>
      </c>
      <c r="E15" s="98"/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73" t="s">
        <v>53</v>
      </c>
      <c r="E16" s="98"/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73" t="s">
        <v>53</v>
      </c>
      <c r="E21" s="98"/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69"/>
      <c r="G22" s="3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69"/>
      <c r="G25" s="3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762-24E5-4E62-A1D2-56A81DF6DB39}">
  <sheetPr codeName="Feuil23">
    <tabColor theme="7" tint="0.59999389629810485"/>
    <pageSetUpPr fitToPage="1"/>
  </sheetPr>
  <dimension ref="A1:AJ224"/>
  <sheetViews>
    <sheetView zoomScaleNormal="100" workbookViewId="0">
      <selection activeCell="T17" sqref="T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73" t="s">
        <v>53</v>
      </c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73" t="s">
        <v>53</v>
      </c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73" t="s">
        <v>53</v>
      </c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73" t="s">
        <v>53</v>
      </c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73" t="s">
        <v>53</v>
      </c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73" t="s">
        <v>53</v>
      </c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73" t="s">
        <v>53</v>
      </c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73" t="s">
        <v>53</v>
      </c>
      <c r="F22" s="98"/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123" t="s">
        <v>85</v>
      </c>
      <c r="B24" s="131" t="s">
        <v>86</v>
      </c>
      <c r="C24" s="98"/>
      <c r="D24" s="98"/>
      <c r="E24" s="73" t="s">
        <v>53</v>
      </c>
      <c r="F24" s="69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8"/>
      <c r="W24" s="98"/>
      <c r="X24" s="98"/>
      <c r="Y24" s="98"/>
      <c r="Z24" s="98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73" t="s">
        <v>53</v>
      </c>
      <c r="F25" s="98"/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941A-60D7-4605-BC34-4EC210C6A324}">
  <sheetPr codeName="Feuil24">
    <tabColor theme="7" tint="0.59999389629810485"/>
    <pageSetUpPr fitToPage="1"/>
  </sheetPr>
  <dimension ref="A1:AJ224"/>
  <sheetViews>
    <sheetView topLeftCell="A4" zoomScaleNormal="100" workbookViewId="0">
      <selection activeCell="N17" sqref="N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70" t="s">
        <v>53</v>
      </c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/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123" t="s">
        <v>72</v>
      </c>
      <c r="B20" s="128" t="s">
        <v>79</v>
      </c>
      <c r="C20" s="98"/>
      <c r="D20" s="98"/>
      <c r="E20" s="98"/>
      <c r="F20" s="70" t="s">
        <v>53</v>
      </c>
      <c r="G20" s="38"/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123" t="s">
        <v>72</v>
      </c>
      <c r="B21" s="128" t="s">
        <v>81</v>
      </c>
      <c r="C21" s="98"/>
      <c r="D21" s="98"/>
      <c r="E21" s="98"/>
      <c r="F21" s="70" t="s">
        <v>53</v>
      </c>
      <c r="G21" s="38"/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98"/>
      <c r="F22" s="70" t="s">
        <v>53</v>
      </c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98"/>
      <c r="F25" s="70" t="s">
        <v>53</v>
      </c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F4-1BC6-4896-A8A9-0B66836462C3}">
  <sheetPr codeName="Feuil25">
    <tabColor theme="7" tint="0.59999389629810485"/>
    <pageSetUpPr fitToPage="1"/>
  </sheetPr>
  <dimension ref="A1:AJ224"/>
  <sheetViews>
    <sheetView zoomScaleNormal="100" workbookViewId="0">
      <selection activeCell="V31" sqref="V31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69"/>
      <c r="G4" s="8" t="s">
        <v>53</v>
      </c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69"/>
      <c r="G5" s="8" t="s">
        <v>53</v>
      </c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69"/>
      <c r="G6" s="8" t="s">
        <v>53</v>
      </c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69"/>
      <c r="G7" s="71" t="s">
        <v>53</v>
      </c>
      <c r="H7" s="17">
        <v>100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0.02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69"/>
      <c r="G8" s="71" t="s">
        <v>53</v>
      </c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69"/>
      <c r="G11" s="71" t="s">
        <v>53</v>
      </c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69"/>
      <c r="G12" s="71" t="s">
        <v>53</v>
      </c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69"/>
      <c r="G13" s="71" t="s">
        <v>53</v>
      </c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69"/>
      <c r="G14" s="71" t="s">
        <v>53</v>
      </c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69"/>
      <c r="G15" s="71" t="s">
        <v>53</v>
      </c>
      <c r="H15" s="10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0.02</v>
      </c>
      <c r="U15" s="118">
        <v>0.02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69"/>
      <c r="G16" s="8" t="s">
        <v>53</v>
      </c>
      <c r="H16" s="103">
        <v>40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73">
        <v>0</v>
      </c>
      <c r="S16" s="73">
        <v>0.02</v>
      </c>
      <c r="T16" s="73">
        <v>0.02</v>
      </c>
      <c r="U16" s="118">
        <v>0.02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69"/>
      <c r="G17" s="8" t="s">
        <v>53</v>
      </c>
      <c r="H17" s="103">
        <v>40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0.02</v>
      </c>
      <c r="T17" s="73">
        <v>0.02</v>
      </c>
      <c r="U17" s="118">
        <v>0.02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69"/>
      <c r="G18" s="8" t="s">
        <v>53</v>
      </c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69"/>
      <c r="G19" s="8" t="s">
        <v>53</v>
      </c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123" t="s">
        <v>72</v>
      </c>
      <c r="B20" s="128" t="s">
        <v>79</v>
      </c>
      <c r="C20" s="98"/>
      <c r="D20" s="98"/>
      <c r="E20" s="98"/>
      <c r="F20" s="69"/>
      <c r="G20" s="8" t="s">
        <v>53</v>
      </c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123" t="s">
        <v>72</v>
      </c>
      <c r="B21" s="128" t="s">
        <v>81</v>
      </c>
      <c r="C21" s="98"/>
      <c r="D21" s="98"/>
      <c r="E21" s="98"/>
      <c r="F21" s="69"/>
      <c r="G21" s="8" t="s">
        <v>53</v>
      </c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123" t="s">
        <v>72</v>
      </c>
      <c r="B22" s="128" t="s">
        <v>82</v>
      </c>
      <c r="C22" s="98"/>
      <c r="D22" s="98"/>
      <c r="E22" s="98"/>
      <c r="F22" s="69"/>
      <c r="G22" s="8" t="s">
        <v>53</v>
      </c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69"/>
      <c r="G23" s="8" t="s">
        <v>53</v>
      </c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123" t="s">
        <v>85</v>
      </c>
      <c r="B25" s="128" t="s">
        <v>87</v>
      </c>
      <c r="C25" s="98"/>
      <c r="D25" s="98"/>
      <c r="E25" s="98"/>
      <c r="F25" s="69"/>
      <c r="G25" s="8" t="s">
        <v>53</v>
      </c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9"/>
  <sheetViews>
    <sheetView zoomScale="130" zoomScaleNormal="130" workbookViewId="0">
      <selection activeCell="H16" sqref="H16"/>
    </sheetView>
  </sheetViews>
  <sheetFormatPr defaultColWidth="11.42578125" defaultRowHeight="15" x14ac:dyDescent="0.25"/>
  <cols>
    <col min="1" max="3" width="15.7109375" customWidth="1"/>
  </cols>
  <sheetData>
    <row r="1" spans="1:3" s="48" customFormat="1" ht="69.95" customHeight="1" x14ac:dyDescent="0.25">
      <c r="A1" s="104" t="s">
        <v>126</v>
      </c>
      <c r="B1" s="104" t="s">
        <v>127</v>
      </c>
      <c r="C1" s="104" t="s">
        <v>128</v>
      </c>
    </row>
    <row r="2" spans="1:3" s="7" customFormat="1" x14ac:dyDescent="0.25">
      <c r="A2" s="105" t="s">
        <v>42</v>
      </c>
      <c r="B2" s="105">
        <v>0.5</v>
      </c>
      <c r="C2" s="105">
        <v>0.4</v>
      </c>
    </row>
    <row r="3" spans="1:3" s="7" customFormat="1" x14ac:dyDescent="0.25">
      <c r="A3" s="105" t="s">
        <v>43</v>
      </c>
      <c r="B3" s="105">
        <v>0.4</v>
      </c>
      <c r="C3" s="105">
        <v>0.3</v>
      </c>
    </row>
    <row r="4" spans="1:3" s="7" customFormat="1" x14ac:dyDescent="0.25">
      <c r="A4" s="105" t="s">
        <v>44</v>
      </c>
      <c r="B4" s="105">
        <v>0.3</v>
      </c>
      <c r="C4" s="105">
        <v>0.3</v>
      </c>
    </row>
    <row r="5" spans="1:3" s="7" customFormat="1" x14ac:dyDescent="0.25">
      <c r="A5" s="105" t="s">
        <v>45</v>
      </c>
      <c r="B5" s="105">
        <v>0.3</v>
      </c>
      <c r="C5" s="105">
        <v>0.2</v>
      </c>
    </row>
    <row r="6" spans="1:3" s="7" customFormat="1" x14ac:dyDescent="0.25">
      <c r="A6" s="105" t="s">
        <v>46</v>
      </c>
      <c r="B6" s="105">
        <v>0.3</v>
      </c>
      <c r="C6" s="105">
        <v>0.2</v>
      </c>
    </row>
    <row r="7" spans="1:3" s="7" customFormat="1" x14ac:dyDescent="0.25"/>
    <row r="8" spans="1:3" s="7" customFormat="1" x14ac:dyDescent="0.25"/>
    <row r="9" spans="1:3" s="7" customFormat="1" x14ac:dyDescent="0.25"/>
  </sheetData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3"/>
  <sheetViews>
    <sheetView zoomScale="120" zoomScaleNormal="120" workbookViewId="0">
      <selection activeCell="D16" sqref="D16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12" customFormat="1" ht="35.1" customHeight="1" x14ac:dyDescent="0.25">
      <c r="A1" s="55" t="e">
        <f>#REF!</f>
        <v>#REF!</v>
      </c>
      <c r="B1" s="56" t="s">
        <v>129</v>
      </c>
      <c r="C1" s="45"/>
      <c r="D1" s="45"/>
      <c r="E1" s="46">
        <v>2025</v>
      </c>
      <c r="F1" s="46">
        <f>E1+1</f>
        <v>2026</v>
      </c>
      <c r="G1" s="46">
        <f t="shared" ref="G1:AH1" si="0">F1+1</f>
        <v>2027</v>
      </c>
      <c r="H1" s="46">
        <f t="shared" si="0"/>
        <v>2028</v>
      </c>
      <c r="I1" s="46">
        <f t="shared" si="0"/>
        <v>2029</v>
      </c>
      <c r="J1" s="46">
        <f t="shared" si="0"/>
        <v>2030</v>
      </c>
      <c r="K1" s="46">
        <f t="shared" si="0"/>
        <v>2031</v>
      </c>
      <c r="L1" s="46">
        <f t="shared" si="0"/>
        <v>2032</v>
      </c>
      <c r="M1" s="46">
        <f t="shared" si="0"/>
        <v>2033</v>
      </c>
      <c r="N1" s="46">
        <f t="shared" si="0"/>
        <v>2034</v>
      </c>
      <c r="O1" s="46">
        <f t="shared" si="0"/>
        <v>2035</v>
      </c>
      <c r="P1" s="46">
        <f t="shared" si="0"/>
        <v>2036</v>
      </c>
      <c r="Q1" s="46">
        <f t="shared" si="0"/>
        <v>2037</v>
      </c>
      <c r="R1" s="46">
        <f t="shared" si="0"/>
        <v>2038</v>
      </c>
      <c r="S1" s="46">
        <f t="shared" si="0"/>
        <v>2039</v>
      </c>
      <c r="T1" s="46">
        <f t="shared" si="0"/>
        <v>2040</v>
      </c>
      <c r="U1" s="46">
        <f t="shared" si="0"/>
        <v>2041</v>
      </c>
      <c r="V1" s="46">
        <f t="shared" si="0"/>
        <v>2042</v>
      </c>
      <c r="W1" s="46">
        <f t="shared" si="0"/>
        <v>2043</v>
      </c>
      <c r="X1" s="46">
        <f t="shared" si="0"/>
        <v>2044</v>
      </c>
      <c r="Y1" s="46">
        <f t="shared" si="0"/>
        <v>2045</v>
      </c>
      <c r="Z1" s="46">
        <f t="shared" si="0"/>
        <v>2046</v>
      </c>
      <c r="AA1" s="46">
        <f t="shared" si="0"/>
        <v>2047</v>
      </c>
      <c r="AB1" s="46">
        <f t="shared" si="0"/>
        <v>2048</v>
      </c>
      <c r="AC1" s="46">
        <f t="shared" si="0"/>
        <v>2049</v>
      </c>
      <c r="AD1" s="46">
        <f t="shared" si="0"/>
        <v>2050</v>
      </c>
      <c r="AE1" s="46">
        <f t="shared" si="0"/>
        <v>2051</v>
      </c>
      <c r="AF1" s="46">
        <f t="shared" si="0"/>
        <v>2052</v>
      </c>
      <c r="AG1" s="46">
        <f t="shared" si="0"/>
        <v>2053</v>
      </c>
      <c r="AH1" s="46">
        <f t="shared" si="0"/>
        <v>2054</v>
      </c>
      <c r="AI1" s="46"/>
      <c r="AJ1" s="46"/>
      <c r="AK1" s="46"/>
      <c r="AL1" s="46"/>
      <c r="AM1" s="46"/>
      <c r="AN1" s="46"/>
      <c r="AO1" s="45"/>
    </row>
    <row r="2" spans="1:41" s="12" customFormat="1" ht="21.6" customHeight="1" x14ac:dyDescent="0.25">
      <c r="A2" s="45" t="s">
        <v>130</v>
      </c>
      <c r="B2" s="47" t="s">
        <v>131</v>
      </c>
      <c r="C2" s="45" t="s">
        <v>132</v>
      </c>
      <c r="D2" s="45" t="s">
        <v>133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s="13" customFormat="1" x14ac:dyDescent="0.25">
      <c r="A3" s="13" t="s">
        <v>134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2"/>
  <sheetViews>
    <sheetView zoomScale="85" zoomScaleNormal="85" workbookViewId="0">
      <selection activeCell="A3" sqref="A3:XFD45"/>
    </sheetView>
  </sheetViews>
  <sheetFormatPr defaultColWidth="11.42578125" defaultRowHeight="15" x14ac:dyDescent="0.25"/>
  <cols>
    <col min="1" max="1" width="27.85546875" customWidth="1"/>
    <col min="2" max="2" width="13" customWidth="1"/>
    <col min="4" max="4" width="15.28515625" customWidth="1"/>
    <col min="5" max="5" width="9" bestFit="1" customWidth="1"/>
    <col min="6" max="34" width="7.5703125" customWidth="1"/>
    <col min="35" max="35" width="13.7109375" bestFit="1" customWidth="1"/>
    <col min="36" max="40" width="7.5703125" customWidth="1"/>
  </cols>
  <sheetData>
    <row r="1" spans="1:40" s="12" customFormat="1" ht="57" customHeight="1" x14ac:dyDescent="0.25">
      <c r="A1" s="53" t="s">
        <v>135</v>
      </c>
      <c r="E1" s="54">
        <v>2025</v>
      </c>
      <c r="F1" s="54">
        <f>E1+1</f>
        <v>2026</v>
      </c>
      <c r="G1" s="54">
        <f t="shared" ref="G1:AH1" si="0">F1+1</f>
        <v>2027</v>
      </c>
      <c r="H1" s="54">
        <f t="shared" si="0"/>
        <v>2028</v>
      </c>
      <c r="I1" s="54">
        <f t="shared" si="0"/>
        <v>2029</v>
      </c>
      <c r="J1" s="54">
        <f t="shared" si="0"/>
        <v>2030</v>
      </c>
      <c r="K1" s="54">
        <f t="shared" si="0"/>
        <v>2031</v>
      </c>
      <c r="L1" s="54">
        <f t="shared" si="0"/>
        <v>2032</v>
      </c>
      <c r="M1" s="54">
        <f t="shared" si="0"/>
        <v>2033</v>
      </c>
      <c r="N1" s="54">
        <f t="shared" si="0"/>
        <v>2034</v>
      </c>
      <c r="O1" s="54">
        <f t="shared" si="0"/>
        <v>2035</v>
      </c>
      <c r="P1" s="54">
        <f t="shared" si="0"/>
        <v>2036</v>
      </c>
      <c r="Q1" s="54">
        <f t="shared" si="0"/>
        <v>2037</v>
      </c>
      <c r="R1" s="54">
        <f t="shared" si="0"/>
        <v>2038</v>
      </c>
      <c r="S1" s="54">
        <f t="shared" si="0"/>
        <v>2039</v>
      </c>
      <c r="T1" s="54">
        <f t="shared" si="0"/>
        <v>2040</v>
      </c>
      <c r="U1" s="54">
        <f t="shared" si="0"/>
        <v>2041</v>
      </c>
      <c r="V1" s="54">
        <f t="shared" si="0"/>
        <v>2042</v>
      </c>
      <c r="W1" s="54">
        <f t="shared" si="0"/>
        <v>2043</v>
      </c>
      <c r="X1" s="54">
        <f t="shared" si="0"/>
        <v>2044</v>
      </c>
      <c r="Y1" s="54">
        <f t="shared" si="0"/>
        <v>2045</v>
      </c>
      <c r="Z1" s="54">
        <f t="shared" si="0"/>
        <v>2046</v>
      </c>
      <c r="AA1" s="54">
        <f t="shared" si="0"/>
        <v>2047</v>
      </c>
      <c r="AB1" s="54">
        <f t="shared" si="0"/>
        <v>2048</v>
      </c>
      <c r="AC1" s="54">
        <f t="shared" si="0"/>
        <v>2049</v>
      </c>
      <c r="AD1" s="54">
        <f t="shared" si="0"/>
        <v>2050</v>
      </c>
      <c r="AE1" s="54">
        <f t="shared" si="0"/>
        <v>2051</v>
      </c>
      <c r="AF1" s="106">
        <f t="shared" si="0"/>
        <v>2052</v>
      </c>
      <c r="AG1" s="54">
        <f t="shared" si="0"/>
        <v>2053</v>
      </c>
      <c r="AH1" s="54">
        <f t="shared" si="0"/>
        <v>2054</v>
      </c>
      <c r="AI1" s="107" t="s">
        <v>136</v>
      </c>
      <c r="AJ1" s="54" t="s">
        <v>137</v>
      </c>
      <c r="AK1" s="52" t="s">
        <v>138</v>
      </c>
      <c r="AL1" s="52"/>
      <c r="AM1" s="52"/>
      <c r="AN1" s="52"/>
    </row>
    <row r="2" spans="1:40" s="12" customFormat="1" x14ac:dyDescent="0.25">
      <c r="A2" s="132" t="s">
        <v>139</v>
      </c>
      <c r="B2" s="133" t="s">
        <v>140</v>
      </c>
      <c r="C2" s="134" t="s">
        <v>141</v>
      </c>
      <c r="D2" s="133" t="s">
        <v>142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352425</xdr:colOff>
                    <xdr:row>0</xdr:row>
                    <xdr:rowOff>161925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AE93-B00C-4564-A000-B1A029A89E5F}">
  <sheetPr codeName="Feuil12">
    <tabColor theme="7" tint="0.59999389629810485"/>
  </sheetPr>
  <dimension ref="A1:D31"/>
  <sheetViews>
    <sheetView workbookViewId="0">
      <selection activeCell="J9" sqref="J9"/>
    </sheetView>
  </sheetViews>
  <sheetFormatPr defaultColWidth="11.42578125" defaultRowHeight="15" x14ac:dyDescent="0.25"/>
  <cols>
    <col min="1" max="1" width="20.140625" customWidth="1"/>
    <col min="2" max="2" width="48.140625" customWidth="1"/>
    <col min="3" max="3" width="66.85546875" bestFit="1" customWidth="1"/>
  </cols>
  <sheetData>
    <row r="1" spans="1:3" x14ac:dyDescent="0.25">
      <c r="A1" t="s">
        <v>143</v>
      </c>
      <c r="B1" t="s">
        <v>144</v>
      </c>
      <c r="C1" t="s">
        <v>145</v>
      </c>
    </row>
    <row r="2" spans="1:3" x14ac:dyDescent="0.25">
      <c r="A2" s="57" t="s">
        <v>52</v>
      </c>
      <c r="B2" s="108"/>
      <c r="C2" s="57" t="s">
        <v>52</v>
      </c>
    </row>
    <row r="3" spans="1:3" x14ac:dyDescent="0.25">
      <c r="A3" s="58" t="s">
        <v>56</v>
      </c>
      <c r="B3" s="109"/>
      <c r="C3" s="58" t="s">
        <v>56</v>
      </c>
    </row>
    <row r="4" spans="1:3" x14ac:dyDescent="0.25">
      <c r="B4" s="78" t="s">
        <v>146</v>
      </c>
      <c r="C4" s="78" t="s">
        <v>147</v>
      </c>
    </row>
    <row r="5" spans="1:3" ht="30" x14ac:dyDescent="0.25">
      <c r="A5" s="59" t="s">
        <v>148</v>
      </c>
      <c r="B5" s="78" t="s">
        <v>149</v>
      </c>
      <c r="C5" s="78" t="s">
        <v>150</v>
      </c>
    </row>
    <row r="6" spans="1:3" ht="30" x14ac:dyDescent="0.25">
      <c r="A6" s="60" t="s">
        <v>151</v>
      </c>
      <c r="B6" s="78" t="s">
        <v>150</v>
      </c>
      <c r="C6" s="78" t="s">
        <v>152</v>
      </c>
    </row>
    <row r="7" spans="1:3" x14ac:dyDescent="0.25">
      <c r="A7" s="60" t="s">
        <v>153</v>
      </c>
      <c r="B7" s="78" t="s">
        <v>152</v>
      </c>
      <c r="C7" s="78" t="s">
        <v>154</v>
      </c>
    </row>
    <row r="8" spans="1:3" ht="30" x14ac:dyDescent="0.25">
      <c r="A8" s="60" t="s">
        <v>155</v>
      </c>
      <c r="B8" s="78" t="s">
        <v>154</v>
      </c>
      <c r="C8" s="78" t="s">
        <v>156</v>
      </c>
    </row>
    <row r="9" spans="1:3" x14ac:dyDescent="0.25">
      <c r="B9" s="78" t="s">
        <v>156</v>
      </c>
      <c r="C9" s="78" t="s">
        <v>157</v>
      </c>
    </row>
    <row r="10" spans="1:3" x14ac:dyDescent="0.25">
      <c r="A10" s="40"/>
      <c r="B10" s="78" t="s">
        <v>157</v>
      </c>
      <c r="C10" s="78" t="s">
        <v>158</v>
      </c>
    </row>
    <row r="11" spans="1:3" x14ac:dyDescent="0.25">
      <c r="B11" s="78" t="s">
        <v>158</v>
      </c>
      <c r="C11" s="78" t="s">
        <v>159</v>
      </c>
    </row>
    <row r="12" spans="1:3" ht="30" x14ac:dyDescent="0.25">
      <c r="A12" s="58" t="s">
        <v>73</v>
      </c>
      <c r="B12" s="110"/>
      <c r="C12" s="58" t="s">
        <v>73</v>
      </c>
    </row>
    <row r="13" spans="1:3" x14ac:dyDescent="0.25">
      <c r="A13" s="61" t="s">
        <v>160</v>
      </c>
      <c r="B13" s="111" t="s">
        <v>161</v>
      </c>
      <c r="C13" s="78" t="s">
        <v>162</v>
      </c>
    </row>
    <row r="14" spans="1:3" ht="30" x14ac:dyDescent="0.25">
      <c r="A14" s="60" t="s">
        <v>163</v>
      </c>
      <c r="B14" s="78" t="s">
        <v>162</v>
      </c>
      <c r="C14" s="78" t="s">
        <v>164</v>
      </c>
    </row>
    <row r="15" spans="1:3" x14ac:dyDescent="0.25">
      <c r="A15" s="61" t="s">
        <v>165</v>
      </c>
      <c r="B15" s="78" t="s">
        <v>164</v>
      </c>
      <c r="C15" s="63" t="s">
        <v>166</v>
      </c>
    </row>
    <row r="16" spans="1:3" x14ac:dyDescent="0.25">
      <c r="A16" s="60" t="s">
        <v>167</v>
      </c>
      <c r="B16" s="112" t="s">
        <v>168</v>
      </c>
      <c r="C16" s="58" t="s">
        <v>77</v>
      </c>
    </row>
    <row r="17" spans="1:4" ht="30" x14ac:dyDescent="0.25">
      <c r="A17" s="59" t="s">
        <v>169</v>
      </c>
      <c r="B17" s="78" t="s">
        <v>170</v>
      </c>
      <c r="C17" s="78" t="s">
        <v>171</v>
      </c>
    </row>
    <row r="18" spans="1:4" x14ac:dyDescent="0.25">
      <c r="A18" s="10"/>
      <c r="B18" s="78" t="s">
        <v>172</v>
      </c>
      <c r="C18" s="78" t="s">
        <v>173</v>
      </c>
    </row>
    <row r="19" spans="1:4" x14ac:dyDescent="0.25">
      <c r="A19" s="41"/>
      <c r="B19" s="78" t="s">
        <v>174</v>
      </c>
      <c r="C19" s="78" t="s">
        <v>175</v>
      </c>
    </row>
    <row r="20" spans="1:4" x14ac:dyDescent="0.25">
      <c r="A20" s="41"/>
      <c r="B20" s="78" t="s">
        <v>159</v>
      </c>
      <c r="C20" s="78" t="s">
        <v>176</v>
      </c>
    </row>
    <row r="21" spans="1:4" x14ac:dyDescent="0.25">
      <c r="A21" s="40"/>
      <c r="B21" s="78" t="s">
        <v>177</v>
      </c>
      <c r="C21" s="58" t="s">
        <v>86</v>
      </c>
    </row>
    <row r="22" spans="1:4" x14ac:dyDescent="0.25">
      <c r="A22" s="58" t="s">
        <v>77</v>
      </c>
      <c r="B22" s="110"/>
      <c r="C22" s="78" t="s">
        <v>192</v>
      </c>
    </row>
    <row r="23" spans="1:4" ht="30" x14ac:dyDescent="0.25">
      <c r="A23" s="61" t="s">
        <v>179</v>
      </c>
      <c r="B23" s="112"/>
      <c r="C23" s="10"/>
    </row>
    <row r="24" spans="1:4" ht="30" x14ac:dyDescent="0.25">
      <c r="A24" s="60" t="s">
        <v>180</v>
      </c>
      <c r="B24" s="78" t="s">
        <v>171</v>
      </c>
    </row>
    <row r="25" spans="1:4" ht="45" x14ac:dyDescent="0.25">
      <c r="A25" s="60" t="s">
        <v>181</v>
      </c>
      <c r="B25" s="78" t="s">
        <v>173</v>
      </c>
    </row>
    <row r="26" spans="1:4" x14ac:dyDescent="0.25">
      <c r="B26" s="78" t="s">
        <v>175</v>
      </c>
    </row>
    <row r="27" spans="1:4" x14ac:dyDescent="0.25">
      <c r="A27" s="57" t="s">
        <v>182</v>
      </c>
      <c r="B27" s="78" t="s">
        <v>176</v>
      </c>
    </row>
    <row r="28" spans="1:4" x14ac:dyDescent="0.25">
      <c r="A28" s="58" t="s">
        <v>86</v>
      </c>
      <c r="B28" s="109"/>
    </row>
    <row r="29" spans="1:4" ht="45" x14ac:dyDescent="0.25">
      <c r="A29" s="62" t="s">
        <v>183</v>
      </c>
      <c r="B29" s="113"/>
      <c r="D29" s="10"/>
    </row>
    <row r="30" spans="1:4" x14ac:dyDescent="0.25">
      <c r="A30" s="62" t="s">
        <v>184</v>
      </c>
      <c r="B30" s="78" t="s">
        <v>178</v>
      </c>
      <c r="D30" s="10"/>
    </row>
    <row r="31" spans="1:4" x14ac:dyDescent="0.25">
      <c r="A31" s="62" t="s">
        <v>185</v>
      </c>
      <c r="B31" s="7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544d5662-36d3-4851-a355-1148ed792d89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  <_x0070_u26 xmlns="ae582f40-ee46-49e7-9f70-91c80b38c5c7" xsi:nil="true"/>
    <lcf76f155ced4ddcb4097134ff3c332f xmlns="ae582f40-ee46-49e7-9f70-91c80b38c5c7">
      <Terms xmlns="http://schemas.microsoft.com/office/infopath/2007/PartnerControls"/>
    </lcf76f155ced4ddcb4097134ff3c332f>
    <TaxCatchAll xmlns="544d5662-36d3-4851-a355-1148ed792d89" xsi:nil="true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70D447D71AD71418FD41AD44D5A4F20" ma:contentTypeVersion="141" ma:contentTypeDescription="Ein neues Dokument erstellen." ma:contentTypeScope="" ma:versionID="a65f086f8dce815974d08a25fa87d3c2">
  <xsd:schema xmlns:xsd="http://www.w3.org/2001/XMLSchema" xmlns:xs="http://www.w3.org/2001/XMLSchema" xmlns:p="http://schemas.microsoft.com/office/2006/metadata/properties" xmlns:ns2="544d5662-36d3-4851-a355-1148ed792d89" xmlns:ns3="ae582f40-ee46-49e7-9f70-91c80b38c5c7" targetNamespace="http://schemas.microsoft.com/office/2006/metadata/properties" ma:root="true" ma:fieldsID="90fcf574e3cadb5ec0eaeba5545ecacf" ns2:_="" ns3:_="">
    <xsd:import namespace="544d5662-36d3-4851-a355-1148ed792d89"/>
    <xsd:import namespace="ae582f40-ee46-49e7-9f70-91c80b38c5c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x0070_u26" minOccurs="0"/>
                <xsd:element ref="ns2:SharedWithUsers" minOccurs="0"/>
                <xsd:element ref="ns2:SharedWithDetails" minOccurs="0"/>
                <xsd:element ref="ns3:MediaLengthInSecond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4d5662-36d3-4851-a355-1148ed792d8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SharedWithUsers" ma:index="2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7" nillable="true" ma:displayName="Taxonomy Catch All Column" ma:hidden="true" ma:list="{8eacde0a-a72e-4c08-add6-a28fe5423c65}" ma:internalName="TaxCatchAll" ma:showField="CatchAllData" ma:web="544d5662-36d3-4851-a355-1148ed792d8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82f40-ee46-49e7-9f70-91c80b38c5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x0070_u26" ma:index="21" nillable="true" ma:displayName="Text" ma:internalName="_x0070_u26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6" nillable="true" ma:taxonomy="true" ma:internalName="lcf76f155ced4ddcb4097134ff3c332f" ma:taxonomyFieldName="MediaServiceImageTags" ma:displayName="Bildmarkierungen" ma:readOnly="false" ma:fieldId="{5cf76f15-5ced-4ddc-b409-7134ff3c332f}" ma:taxonomyMulti="true" ma:sspId="2e7e7b05-955d-4ec1-8c45-691041b8b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705C9F-9445-45F6-BAEE-77564CBFA6E1}">
  <ds:schemaRefs>
    <ds:schemaRef ds:uri="http://schemas.microsoft.com/office/2006/metadata/properties"/>
    <ds:schemaRef ds:uri="http://schemas.microsoft.com/office/infopath/2007/PartnerControls"/>
    <ds:schemaRef ds:uri="287d0d55-93d8-4ec7-91c4-00fa98933216"/>
    <ds:schemaRef ds:uri="544d5662-36d3-4851-a355-1148ed792d89"/>
    <ds:schemaRef ds:uri="ae582f40-ee46-49e7-9f70-91c80b38c5c7"/>
  </ds:schemaRefs>
</ds:datastoreItem>
</file>

<file path=customXml/itemProps2.xml><?xml version="1.0" encoding="utf-8"?>
<ds:datastoreItem xmlns:ds="http://schemas.openxmlformats.org/officeDocument/2006/customXml" ds:itemID="{F3F9C4C0-3B77-4F08-8D61-D9BAF12DEBE0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BF8E5613-84EF-4F69-BFFA-A4F033DD11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4d5662-36d3-4851-a355-1148ed792d89"/>
    <ds:schemaRef ds:uri="ae582f40-ee46-49e7-9f70-91c80b38c5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Title Page</vt:lpstr>
      <vt:lpstr>Releases</vt:lpstr>
      <vt:lpstr>Product Breakd. Struct. </vt:lpstr>
      <vt:lpstr>Work Breakdown Structure</vt:lpstr>
      <vt:lpstr>ProductBreak.Struct. (scen.0)</vt:lpstr>
      <vt:lpstr>ProductBreak.Struct. (scen.1)</vt:lpstr>
      <vt:lpstr>ProductBreak.Struct. (scen.2)</vt:lpstr>
      <vt:lpstr>ProductBreak.Struct. (scen.3)</vt:lpstr>
      <vt:lpstr>ProductBreak.Struct. (scen.4)</vt:lpstr>
      <vt:lpstr>Costs assumpt. (scen.0)</vt:lpstr>
      <vt:lpstr>Costs assumpt. (scen.1)</vt:lpstr>
      <vt:lpstr>Costs assumpt. (scen.2)</vt:lpstr>
      <vt:lpstr>Costs assumpt. (scen.3)</vt:lpstr>
      <vt:lpstr>Costs assumpt. (scen.4)</vt:lpstr>
      <vt:lpstr>Parameters</vt:lpstr>
      <vt:lpstr>Scenarii (for simulation)</vt:lpstr>
      <vt:lpstr>Simulation Results</vt:lpstr>
      <vt:lpstr>Sandbox</vt:lpstr>
      <vt:lpstr>'Costs assumpt. (scen.0)'!Print_Area</vt:lpstr>
      <vt:lpstr>'Costs assumpt. (scen.1)'!Print_Area</vt:lpstr>
      <vt:lpstr>'Costs assumpt. (scen.2)'!Print_Area</vt:lpstr>
      <vt:lpstr>'Costs assumpt. (scen.3)'!Print_Area</vt:lpstr>
      <vt:lpstr>'Costs assumpt. (scen.4)'!Print_Area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dcterms:created xsi:type="dcterms:W3CDTF">2021-03-08T09:49:33Z</dcterms:created>
  <dcterms:modified xsi:type="dcterms:W3CDTF">2022-12-06T13:44:45Z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0x010100336870FA993C8244B6B2A10AC2E11A1E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</Properties>
</file>